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xampp\htdocs\bb\"/>
    </mc:Choice>
  </mc:AlternateContent>
  <xr:revisionPtr revIDLastSave="0" documentId="13_ncr:1_{0F893B4B-F462-490F-A900-B7A798355611}" xr6:coauthVersionLast="47" xr6:coauthVersionMax="47" xr10:uidLastSave="{00000000-0000-0000-0000-000000000000}"/>
  <bookViews>
    <workbookView xWindow="-110" yWindow="-110" windowWidth="25820" windowHeight="15500" activeTab="6" xr2:uid="{00000000-000D-0000-FFFF-FFFF00000000}"/>
  </bookViews>
  <sheets>
    <sheet name="Arzu 16.12.25 (2026)" sheetId="1" r:id="rId1"/>
    <sheet name="Arzu 16.12.25 (2025)" sheetId="2" r:id="rId2"/>
    <sheet name="NEW Travel" sheetId="3" r:id="rId3"/>
    <sheet name="Final 240225" sheetId="4" r:id="rId4"/>
    <sheet name="Final 270525" sheetId="5" r:id="rId5"/>
    <sheet name="DA Travels" sheetId="6" r:id="rId6"/>
    <sheet name="Final 300525" sheetId="7" r:id="rId7"/>
    <sheet name="Arzu 201125"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LfsxGZs47w9lgM80KPXa2fbf+X5qirALLGNdG906oMs="/>
    </ext>
  </extLst>
</workbook>
</file>

<file path=xl/calcChain.xml><?xml version="1.0" encoding="utf-8"?>
<calcChain xmlns="http://schemas.openxmlformats.org/spreadsheetml/2006/main">
  <c r="I6" i="6" l="1"/>
  <c r="P40" i="3"/>
  <c r="O40" i="3"/>
  <c r="N40" i="3"/>
  <c r="M40" i="3"/>
  <c r="L40" i="3"/>
  <c r="K40" i="3"/>
  <c r="J40" i="3"/>
  <c r="I40" i="3"/>
  <c r="P38" i="3"/>
  <c r="O38" i="3"/>
  <c r="N38" i="3"/>
  <c r="M38" i="3"/>
  <c r="L38" i="3"/>
  <c r="K38" i="3"/>
  <c r="J38" i="3"/>
  <c r="I38" i="3"/>
  <c r="P36" i="3"/>
  <c r="O36" i="3"/>
  <c r="N36" i="3"/>
  <c r="M36" i="3"/>
  <c r="L36" i="3"/>
  <c r="K36" i="3"/>
  <c r="J36" i="3"/>
  <c r="I36" i="3"/>
  <c r="P34" i="3"/>
  <c r="O34" i="3"/>
  <c r="N34" i="3"/>
  <c r="M34" i="3"/>
  <c r="L34" i="3"/>
  <c r="K34" i="3"/>
  <c r="J34" i="3"/>
  <c r="I34" i="3"/>
  <c r="P31" i="3"/>
  <c r="O31" i="3"/>
  <c r="N31" i="3"/>
  <c r="M31" i="3"/>
  <c r="L31" i="3"/>
  <c r="K31" i="3"/>
  <c r="J31" i="3"/>
  <c r="I31" i="3"/>
  <c r="P29" i="3"/>
  <c r="O29" i="3"/>
  <c r="N29" i="3"/>
  <c r="M29" i="3"/>
  <c r="L29" i="3"/>
  <c r="K29" i="3"/>
  <c r="J29" i="3"/>
  <c r="I29" i="3"/>
  <c r="P27" i="3"/>
  <c r="O27" i="3"/>
  <c r="N27" i="3"/>
  <c r="M27" i="3"/>
  <c r="L27" i="3"/>
  <c r="K27" i="3"/>
  <c r="J27" i="3"/>
  <c r="I27" i="3"/>
  <c r="P25" i="3"/>
  <c r="O25" i="3"/>
  <c r="N25" i="3"/>
  <c r="M25" i="3"/>
  <c r="L25" i="3"/>
  <c r="K25" i="3"/>
  <c r="J25" i="3"/>
  <c r="I25" i="3"/>
  <c r="P23" i="3"/>
  <c r="O23" i="3"/>
  <c r="N23" i="3"/>
  <c r="M23" i="3"/>
  <c r="L23" i="3"/>
  <c r="K23" i="3"/>
  <c r="J23" i="3"/>
  <c r="I23" i="3"/>
  <c r="P21" i="3"/>
  <c r="O21" i="3"/>
  <c r="N21" i="3"/>
  <c r="M21" i="3"/>
  <c r="L21" i="3"/>
  <c r="K21" i="3"/>
  <c r="J21" i="3"/>
  <c r="I21" i="3"/>
  <c r="P19" i="3"/>
  <c r="O19" i="3"/>
  <c r="N19" i="3"/>
  <c r="M19" i="3"/>
  <c r="L19" i="3"/>
  <c r="K19" i="3"/>
  <c r="J19" i="3"/>
  <c r="I19" i="3"/>
  <c r="P15" i="3"/>
  <c r="O15" i="3"/>
  <c r="N15" i="3"/>
  <c r="M15" i="3"/>
  <c r="L15" i="3"/>
  <c r="K15" i="3"/>
  <c r="J15" i="3"/>
  <c r="I15" i="3"/>
  <c r="P13" i="3"/>
  <c r="O13" i="3"/>
  <c r="N13" i="3"/>
  <c r="M13" i="3"/>
  <c r="L13" i="3"/>
  <c r="K13" i="3"/>
  <c r="J13" i="3"/>
  <c r="I13" i="3"/>
  <c r="I6" i="3"/>
  <c r="I15" i="2"/>
  <c r="I15" i="1"/>
</calcChain>
</file>

<file path=xl/sharedStrings.xml><?xml version="1.0" encoding="utf-8"?>
<sst xmlns="http://schemas.openxmlformats.org/spreadsheetml/2006/main" count="4122" uniqueCount="623">
  <si>
    <t>Duty Code</t>
  </si>
  <si>
    <t>A</t>
  </si>
  <si>
    <t>B</t>
  </si>
  <si>
    <t>Service</t>
  </si>
  <si>
    <t>Distance</t>
  </si>
  <si>
    <t>Start Time</t>
  </si>
  <si>
    <t>Duration(mins)</t>
  </si>
  <si>
    <t>Day Schedule</t>
  </si>
  <si>
    <t>Off Season</t>
  </si>
  <si>
    <t>1 Jan 2026 - 31 Dec 2026</t>
  </si>
  <si>
    <t>Sedan - 4 Seaters (Local Speaking)</t>
  </si>
  <si>
    <t>Sedan - 4 Seaters (English-Non Fluent)</t>
  </si>
  <si>
    <t>Vito/Viano - 8 Seaters (Local)</t>
  </si>
  <si>
    <t>Vito/Viano - 8 Seaters (English-Non fluent)</t>
  </si>
  <si>
    <t>Mercedes Sprinter - 18 Seaters</t>
  </si>
  <si>
    <t>Isuzu - 27 Seaters</t>
  </si>
  <si>
    <t>Mercedes 403 - 45 Seaters</t>
  </si>
  <si>
    <t>Mercedes Trivago - 54 Seater</t>
  </si>
  <si>
    <t>Neoplan - 48 Seater</t>
  </si>
  <si>
    <t>Guides (A)</t>
  </si>
  <si>
    <t>Guides (O)</t>
  </si>
  <si>
    <t>Airport</t>
  </si>
  <si>
    <t>Hotel</t>
  </si>
  <si>
    <t xml:space="preserve">1 way Transfer </t>
  </si>
  <si>
    <t>- Pick-up from GYD Airport (1 way x 35 mins) 
- Drop to Hotel</t>
  </si>
  <si>
    <t>Hotel - Airport</t>
  </si>
  <si>
    <t xml:space="preserve">2 ways Transfer </t>
  </si>
  <si>
    <t>- Pick-up from GYD Airport (Arrival) - (1 way x 35 mins) 
- Drop-off at the Hotel
- Pick-up from Hotel (Departure) - (1 way x 35 mins) 
- Drop-off at the GYD Airport</t>
  </si>
  <si>
    <t>Baku</t>
  </si>
  <si>
    <t>Shamakhi</t>
  </si>
  <si>
    <t>Day Trip</t>
  </si>
  <si>
    <t>09:00 – Leaving Baku to Shamakhi (1 way x 2 hrs)
11:30 – Arrive to Shamakhi
12:00 -  Alpaca Farm is located in the Shamakhi district, close to the Meyseri vineyards, surrounded by picturesque mountains and green pastures. For the construction of the farm, the Shamakhi district was not chosen by chance. Most of this area is a resort area with multiple springs. It is rich in mountain forests and meadows, and is located in a zone of moderate humidity, which makes it ideal for keeping alpacas.In addition, on the territory of the farm there will be souvenir shops with handmade dolls, stationery, bags of fertilizer, branded merch (T-shirts, hoodies, caps).
12:30 – Lunch Break
15:00 -Leave Shamakhi to Baku
18:00 – Dinner Break (if included)
19:30 – Drop to Hotel
Overnight in Shamakhi</t>
  </si>
  <si>
    <t xml:space="preserve">Baku </t>
  </si>
  <si>
    <t>Shamakhi - Baku Panoramic City Tour</t>
  </si>
  <si>
    <t>Private Tour</t>
  </si>
  <si>
    <t>09:00 – Leaving Baku to Shamakhi (1 way x 2 hours)
11:30 – Arrive to Shamakhi
12:00 -  Alpaca Farm is located in the Shamakhi district, close to the Meyseri vineyards, surrounded by picturesque mountains and green pastures. For the construction of the farm, the Shamakhi district was not chosen by chance. Most of this area is a resort area with multiple springs. It is rich in mountain forests and meadows, and is located in a zone of moderate humidity, which makes it ideal for keeping alpacas.In addition, on the territory of the farm there will be souvenir shops with handmade dolls, stationery, bags of fertilizer, branded merch (T-shirts, hoodies, caps).
12:30 – Lunch break
15:00 -Leave Shamakhi to Baku
18:00 – Arrive Baku and start Panaromic city tour
Evening City Tour starts with panoramic full evening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19:00 - Dinner Break (if included)
20:00 – Drop to Hotel
Overnight at Hotel</t>
  </si>
  <si>
    <t>Overnight</t>
  </si>
  <si>
    <t>Baku to Shamakhi 
09:00 – Leaving Baku to Shamakhi (1 way x 2 hrs)
11:30 – Arrive to Shamakhi
12:00 -  Alpaca Farm is located in the Shamakhi district, close to the Meyseri vineyards, surrounded by picturesque mountains and green pastures. For the construction of the farm, the Shamakhi district was not chosen by chance. Most of this area is a resort area with multiple springs. It is rich in mountain forests and meadows, and is located in a zone of moderate humidity, which makes it ideal for keeping alpacas.In addition, on the territory of the farm there will be souvenir shops with handmade dolls, stationery, bags of fertilizer, branded merch (T-shirts, hoodies, caps).
13:00 – Lunch break
15:00 - Check-in to the Hotel
18:00 - Dinner Break(if included)
19:00 –  Drop to Hotel
Overnight in Shamakhi</t>
  </si>
  <si>
    <t>Guba</t>
  </si>
  <si>
    <t>09:00 – Leaving Baku to Guba(1 way takes 3 hours)
12:00 – Reaching to Guba and visiting the Guba Genocide Memorial Complex.
 The mass grave, discovered accidentally during the excavations for construction purposes in the town of Guba in 2007, was a clear evidence of the genocide of the Muslim population of Guba, committed by Armenian armed forces under Bolshevik name in May 1918. The area is wonderful on the left side of river Qudiyal-chay. Here you can see the part of history of our nation and relax with nature
12:30 – Lunch break
15:00 - Visiting Qecresh Forest 
 - Qechresh Forest, also known as Gachresh Forest, is one of the largest forests in Azerbaijan, located near the town of Quba. Renowned for its dense foliage and majestic landscape, it features a rich biodiversity and is a habitat for various plant species and wildlife. The forest's high altitude and clean, fresh air make it a perfect spot for those looking for outdoor adventures or simply to relax .
17:00 - Leave Guba to Baku
 20:00 - Dinner Break (if included)
 21:00 – Drop to Hotel
Overnight at Hotel</t>
  </si>
  <si>
    <t>09:00 – Leaving Baku to Guba ( 1 way takes 3 hours)
12:00 – Reaching to Guba and visiting the Guba Genocide Memorial Complex.
- The mass grave, discovered accidentally during the excavations for construction purposes in the town of Guba in 2007, was a clear evidence of the genocide of the Muslim population of Guba, committed by Armenian armed forces under Bolshevik name in May 1918. The area is wonderful on the left side of river Qudiyal-chay. Here you can see the part of history of our nation and relax with nature
12:30 – Lunch Break
15:00 - Check-in to the Hotel 16:00 - Visiting Qecresh Forest 
- Qechresh Forest, also known as Gachresh Forest, is one of the largest forests in Azerbaijan, located near the town of Quba. Renowned for its dense foliage and majestic landscape, it features a rich biodiversity and is a habitat for various plant species and wildlife. The forest's high altitude and clean, fresh air make it a perfect spot for those looking for outdoor adventures or simply to relax .
18:00 - Dinner Break (if included)
19:00 – Drop to Hotel
Overnight in Guba</t>
  </si>
  <si>
    <t>Shahdagh</t>
  </si>
  <si>
    <t>09:00 – Leaving Baku to Guba ( 1 way x 3 hrs)
12:00 – Visiting Qecresh Forest (photostop)
- Qechresh Forest, also known as Gachresh Forest, is one of the largest forests in Azerbaijan, located near the town of Quba. Renowned for its dense foliage and majestic landscape, it features a rich biodiversity and is a habitat for various plant species and wildlife. The forest's high altitude and clean, fresh air make it a perfect spot for those looking for outdoor adventures or simply to relax .
12:30 – Lunch Break 
13:30 – Reaching to Shahdag and visit Shahdag Mountain Resort
- Shahdag is the highest part of the side ridge in the territory of the Republic of Azerbaijan. It is separated from the Kyzylgaya plateau by the Gusar river valley. Composed of sediments of the Jurassic and Cretaceous systems. Its height is up to 4243 meters (Shahdag peak). There are alpine and subalpine meadows, glaciers with an area of more than 1 square km. Discover the wonders of Shahdag, a land of ancient glaciers, majestic valleys, and stunning mountain lakes! Designed with avid outdoor enthusiasts in mind, Shahdag Mountain Resort offers an array of thrilling activities throughout the year. Picture yourself zooming down the slopes, feeling the crisp mountain air on your face as you carve your way through powdery snow. And for those seeking an adrenaline rush of a different kind, don't miss the Shahdag Coaster, an exhilarating roller coaster that takes you on a wild ride through the breathtaking mountain scenery.
17:00 - Leaving Shahdag to Baku 
20:00 - Dinner Break (if included)
21:00 – Drop to Hotel
Overnight at Hotel</t>
  </si>
  <si>
    <t>09:00 – Leaving Baku to Guba ( 1 way x 3 hrs)
12:00 – Visiting Qecresh Forest (photostop)
- Qechresh Forest, also known as Gachresh Forest, is one of the largest forests in Azerbaijan, located near the town of Quba. Renowned for its dense foliage and majestic landscape, it features a rich biodiversity and is a habitat for various plant species and wildlife. The forest's high altitude and clean, fresh air make it a perfect spot for those looking for outdoor adventures or simply to relax .
12:30 – Lunch Break 
13:30 – Reaching to Shahdag and visit Shahdag Mountain Resort
- Shahdag is the highest part of the side ridge in the territory of the Republic of Azerbaijan. It is separated from the Kyzylgaya plateau by the Gusar river valley. Composed of sediments of the Jurassic and Cretaceous systems. Its height is up to 4243 meters (Shahdag peak). There are alpine and subalpine meadows, glaciers with an area of more than 1 square km.
- Discover the wonders of Shahdag, a land of ancient glaciers, majestic valleys, and stunning mountain lakes! Designed with avid outdoor enthusiasts in mind, Shahdag Mountain Resort offers an array of thrilling activities throughout the year. Picture yourself zooming down the slopes, feeling the crisp mountain air on your face as you carve your way through powdery snow. And for those seeking an adrenaline rush of a different kind, don't miss the Shahdag Coaster, an exhilarating roller coaster that takes you on a wild ride through the breathtaking mountain scenery.
15:00 - Check-in to the Hotel 
18:00 - Dinner Break (if included)
19:00 – Drop to Hotel
Overnight in Shahdag</t>
  </si>
  <si>
    <t xml:space="preserve">Candy Cane Mountains  &amp; Shahdagh  </t>
  </si>
  <si>
    <t>09:00 – Leaving Baku to Shahdag (1 way x 3 hrs)
 12:00 – Shahdag to Candy Cane Mountain
- Candy Cane Mountains are a psychedelic, red-pink and white striped area of exposed rock in the Northwest of Azerbaijan. Iron in the ground gives the mountains their deep red color and powdery shale makes up the white parts. Through a geological process, they’ve mixed together underground, layer on top of layer, and when exposed to the elements, they eroded into a beautiful, completely bizarre sight 
13:30 – Lunch break 
14:30 - Reaching to Shahdag and visit Shahdag Mountains
- Shahdag is the highest part of the side ridge in the territory of the Republic of Azerbaijan. It is separated from the Kyzylgaya plateau by the Gusar river valley. composed of sediments of the Jurassic and Cretaceous systems. Its height is up to 4243 meters (Shahdag peak). There are alpine and subalpine meadows, glaciers with an area of more than 1 square km.
  Discover the wonders of Shahdag, a land of ancient glaciers, majestic valleys, and stunning mountain lakes! Designed with avid outdoor enthusiasts in mind, Shahdag Mountain Resort offers an array of thrilling activities throughout the year. Picture yourself zooming down the slopes, feeling the crisp mountain air on your face as you carve your way through powdery snow. And for those seeking an adrenaline rush of a different kind, don't miss the Shahdag Coaster, an exhilarating roller coaster that takes you on a wild ride through the breathtaking mountain scenery.
17:30 – Leaving Shahdag to Baku
20:30 - Dinner Break (if included)
21:30 – Drop to Hotel
Overnight at Hotel</t>
  </si>
  <si>
    <t xml:space="preserve">Candy Cane Mountains &amp; Shahdagh  </t>
  </si>
  <si>
    <t>09:00 – Leaving Baku to Shahdag (1 way x 3 hrs)
 12:00 – Shahdag to Candy Cane Mountain
- Candy Cane Mountains are a psychedelic, red-pink and white striped area of exposed rock in the Northwest of Azerbaijan. Iron in the ground gives the mountains their deep red color and powdery shale makes up the white parts. Through a geological process, they’ve mixed together underground, layer on top of layer, and when exposed to the elements, they eroded into a beautiful, completely bizarre sight 
13:30 – Lunch break 
14:30 - Reaching to Shahdag and visit Shahdag Mountains
- Shahdag is the highest part of the side ridge in the territory of the Republic of Azerbaijan. It is separated from the Kyzylgaya plateau by the Gusar river valley. composed of sediments of the Jurassic and Cretaceous systems. Its height is up to 4243 meters (Shahdag peak). There are alpine and subalpine meadows, glaciers with an area of more than 1 square km.
  Discover the wonders of Shahdag, a land of ancient glaciers, majestic valleys, and stunning mountain lakes! Designed with avid outdoor enthusiasts in mind, Shahdag Mountain Resort offers an array of thrilling activities throughout the year. Picture yourself zooming down the slopes, feeling the crisp mountain air on your face as you carve your way through powdery snow. And for those seeking an adrenaline rush of a different kind, don't miss the Shahdag Coaster, an exhilarating roller coaster that takes you on a wild ride through the breathtaking mountain scenery.
17:30 – Leaving Shahdag to Baku
20:30 - Dinner Break (if included)
21:30 – Drop to Hotel
Overnight in Shahdag</t>
  </si>
  <si>
    <t>Shahdagh - Baku Panoramic city Tour</t>
  </si>
  <si>
    <t xml:space="preserve">09:00 – Leaving Baku to Shahdag (1 way x 3 hrs)
 12:00 – Reaching to Shahdag and visit Shahdag Mountains
- Shahdag is the highest part of the side ridge in the territory of the Republic of Azerbaijan. It is separated from the Kyzylgaya plateau by the Gusar river valley. composed of sediments of the Jurassic and Cretaceous systems. Its height is up to 4243 meters (Shahdag peak). There are alpine and subalpine meadows, glaciers with an area of more than 1 square km
  Discover the wonders of Shahdag, a land of ancient glaciers, majestic valleys, and stunning mountain lakes! Designed with avid outdoor enthusiasts in mind, Shahdag Mountain Resort offers an array of thrilling activities throughout the year. Picture yourself zooming down the slopes, feeling the crisp mountain air on your face as you carve your way through powdery snow. And for those seeking an adrenaline rush of a different kind, don't miss the Shahdag Coaster, an exhilarating roller coaster that takes you on a wild ride through the breathtaking mountain scenery.
13:00 – Lunch break
16:00 – Leaving Shahdag to Baku
19:00 – Reaching Baku and doing Panoramic night city tour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20:00 – Dinner break (if included)
 21:00 – Drop to the Hotel
Overnight at Hotel
</t>
  </si>
  <si>
    <t>Gabala</t>
  </si>
  <si>
    <t>09:00 – Leaving Baku to Gabala (1 way x 4.5 hrs)
13:00 – Reaching to Gabala
13:30 – Lunch break
14:30 – Visiting Tufandagh Mountains Resort 
- Tufandagh is a mountain peak of the Greater Caucasus range, located in the Qusar District of Azerbaijan. With an elevation of 4,191 metres (13,750 ft) above sea level, it third highest mountain in Azerbaijan. Visit to Nohur lake, guests enjoy with Panoramic Nature view (Located about 5 km. east of the Gabala city, the lake is surrounded by the forests and high mountains called Yumru, Goydag and Gulluburun. The lake covers 240 ha in total and has the maximum depth of 24 meters. The Nohur lake has very clear water thanks to the fresh water sources spilt into the lake. Apart from the small seasonal water supply coming from the mountains of Caucasus, Damiraparan and Vandam rivers also flow to the lake.
17:00 – Leaving Gabala to Baku
21:00 – Dinner Break (if included)
22:00 – Drop to the Hotel
Overnight in Baku</t>
  </si>
  <si>
    <t>09:00 – Leaving Baku to Gabala (1 way x 4.5 hrs)
 13:00 – Reaching to Gabala
 14:00 – Lunch break
 15:00 – Check-in to the Hotel
16:00 - Visiting Tufandagh Mountains Resort 
- Tufandagh is a mountain peak of the Greater Caucasus range, located in the Qusar District of Azerbaijan. With an elevation of 4,191 metres (13,750 ft) above sea level, it third highest mountain in Azerbaijan. Visit to Nohur lake, guests enjoy with Panoramic Nature view (Located about 5 km. east of the Gabala city, the lake is surrounded by the forests and high mountains called Yumru, Goydag and Gulluburun. The lake covers 240 ha in total and has the maximum depth of 24 meters. The Nohur lake has very clear water thanks to the fresh water sources spilt into the lake. Apart from the small seasonal water supply coming from the mountains of Caucasus, Damiraparan and Vandam rivers also flow to the lake.
18:00 – Dinner Break (if included)
19:00 – Drop to the Hotel
Overnight in Gabala</t>
  </si>
  <si>
    <t>Ismayilli</t>
  </si>
  <si>
    <t>09:00 – Depart from Hotel to Ismayilli (1 way takes 3.5 hour)
 12:30 - Lunch Break 
13:30 - The journey begins with a scenic drive from Baku to Ismayilli, passing mountains, small villages, and natural landscapes.
 - Shamakhi Juma Mosque
 Visit one of the oldest mosques in the country, originally dating back to the 8th century and beautifully restored while preserving its historic identity.
 - Yeddi Gumbaz Mausoleum (Photo Stop)
 A historical mausoleum complex offering panoramic views and a short stop for photos.
17:00 – Leave Ismayilli to Baku
20:30 – Dinner Break (if included)
21:30 – Drop to the Hotel
Overnight in Baku</t>
  </si>
  <si>
    <t>09:00 – Depart from Hotel to Ismayilli (1 way takes 3.5 hour)
 12:30 - Lunch Break 
13:30 - The journey begins with a scenic drive from Baku to Ismayilli, passing mountains, small villages, and natural landscapes.
 - Shamakhi Juma Mosque
 - Visit one of the oldest mosques in the country, originally dating back to the 8th century and beautifully restored while preserving its historic identity.
 - Yeddi Gumbaz Mausoleum (Photo Stop)
 A historical mausoleum complex offering panoramic views and a short stop for photos. 
15:00 - Check-in to the Hotel 
18:00 – Dinner Break (if included)
 19:00 – Drop to the Hotel
 Overnight in Ismayilli</t>
  </si>
  <si>
    <t>Lahij</t>
  </si>
  <si>
    <t>09:00 – Leaving Baku to Lahij (1 way x 3.5 hrs)
 Scenic drive through the mountains, passing traditional villages and lush landscapes.
 12:30 – Arrive at Lahij
 Lahij Village – Explore the historic mountain village known for its cobbled streets, traditional copper craftsmanship, and preserved Caucasian architecture.
 Local Workshops – Watch artisans creating copperware, handicrafts, and souvenirs.
 Panoramic Views – Enjoy the surrounding mountains and scenic vistas.
 13:00 –Lunch Break
 14:00 – Continue Lahij Tour
 Guests can stroll through the village, shop for local handicrafts, and take photos of the picturesque scenery.
 15:30 – Leaving Lahij to Baku
 18:00 – Dinner Break (if included)
 19:00 – Arrive at Baku Hotel
 Overnight in Baku</t>
  </si>
  <si>
    <t>09:00 – Leaving Baku to Lahij (1 way x 3.5 hrs)
 Scenic drive through the mountains, passing traditional villages and lush landscapes.
 12:30 – Arrive at Lahij
 Lahij Village – Explore the historic mountain village known for its cobbled streets, traditional copper craftsmanship, and preserved Caucasian architecture.
 Local Workshops – Watch artisans creating copperware, handicrafts, and souvenirs.
 Panoramic Views – Enjoy the surrounding mountains and scenic vistas.
 13:00 –Lunch Break
 14:00 – Continue Lahij Tour
 Guests can stroll through the village, shop for local handicrafts, and take photos of the picturesque scenery.
 15:00 - Check-in to the Hotel
 18:00 – Dinner Break (if included)
 19:00 – Arrive at Hotel
 Overnight in Lahij</t>
  </si>
  <si>
    <t>Lenkaran</t>
  </si>
  <si>
    <t>09:00 – Leaving Baku to Lankaran (1 way x 3.5 hrs)
 - Scenic drive through southern Azerbaijan, passing lush lowlands and the Caspian coastline.
 12:30 – Lunch break
13:30 - Lankaran Fortress – Historic fortification offering insight into the region’s past and panoramic views of the city.
 - Hirkan National Park - If time allows, enjoy the lush greenery and diverse flora of this UNESCO-protected area.
 - Citrus Valley -A peaceful agro-tourism area famous for its citrus orchards and subtropical nature. Guests can enjoy walking through fruit gardens, light hiking, and relaxing in a natural countryside setting. Local food tasting and seasonal fruit-picking experiences are also available.
 -Khanbulan Lake- scenic freshwater lake surrounded by dense forest and mountains, known for its calm atmosphere and natural beauty. It’s an ideal spot for walking, photography, picnics, and relaxing by the water. Visitors can also enjoy light hiking and nature exploration around the lake
 - Lankaran Bazaar – Explore a local market with fresh produce, spices, and traditional crafts.
16:00 – Leaving Lenkaran to Baku
19:00 - Dinner Break (if included)
20:00 – Arrive at Baku Hotel
Overnight in Baku</t>
  </si>
  <si>
    <t>09:00 – Leaving Baku to Lankaran (1 way x 3.5 hrs)
- Scenic drive through southern Azerbaijan, passing lush lowlands and the Caspian coastline.
 12:30 – Lunch break
13:30 - Lankaran Fortress – Historic fortification offering insight into the region’s past and panoramic 
views of the city.
 - Hirkan National Park - If time allows, enjoy the lush greenery and diverse flora of this UNESCO-protected area.
 - Citrus Valley -A peaceful agro-tourism area famous for its citrus orchards and subtropical nature. Guests can enjoy walking through fruit gardens, light hiking, and relaxing in a natural countryside setting. Local food tasting and seasonal fruit-picking experiences are also available.
 -Khanbulan Lake- scenic freshwater lake surrounded by dense forest and mountains, known for its calm atmosphere and natural beauty. It’s an ideal spot for walking, photography, picnics, and relaxing by the water. Visitors can also enjoy light hiking and nature exploration around the lake
 - Lankaran Bazaar – Explore a local market with fresh produce, spices, and traditional crafts.
15:00 - Check-in to the Hotel
18:00 - Dinner Break (if included)
19:00 – Drop to the Hotel
Overnight in Lenkaran</t>
  </si>
  <si>
    <t>Lerik</t>
  </si>
  <si>
    <t>09:00 – Leaving Baku to Lerik (1 way x 4.5 hrs)
- Scenic drive through the Talysh Mountains and lush southern Azerbaijan landscapes.
 13:30 – Lunch Break 
 14:30 - Lerik Village – Explore this mountain village, famous for its fresh air, natural springs, and centuries-old trees.
 Local Culture – Discover traditional Talysh lifestyle and architecture.
 Panoramic Views – Enjoy the surrounding mountains and valleys, ideal for photography.
 16:00 – Leaving Lerik to Baku
20:30 – Dinner Break (if included)
21:30 - Drop to the hotel
Overnight in Baku</t>
  </si>
  <si>
    <t>09:00 – Leaving Baku to Lerik (1 way x 4.5 hrs)
 - Scenic drive through the Talysh Mountains and lush southern Azerbaijan landscapes.
 13:30 – Lunch Break 
14:30 - Lerik Village – Explore this mountain village, famous for its fresh air, natural springs, and centuries-old trees.
 - Local Culture – Discover traditional Talysh lifestyle and architecture.
 - Panoramic Views – Enjoy the surrounding mountains and valleys, ideal for photography.
15:00 - Check-in to the Hotel
18:00 – Dinner Break (if included)
19:00 - Drop to the hotel
Overnight in Lerik</t>
  </si>
  <si>
    <t>Astara</t>
  </si>
  <si>
    <t>09:00 – Leaving Baku to Astara (1 way x 3.5 hrs)
 - Scenic drive along the Caspian coastline and southern Azerbaijan, passing lush lowlands and forests.
 12:30 – Lunch Break
 13:30 - Astara Boulevard &amp; Caspian Coast – Enjoy a stroll along the waterfront and take in views of the Caspian Sea.
 - Astara Bazaar – Explore a local market with fresh produce, spices, and traditional crafts.
 - Astara Lighthouse – Visit the historic lighthouse and enjoy panoramic views of the coastline.
 15:00 – Continue Astara Tour
 - Guests can visit local parks, take photos of the surrounding nature, or explore the city at leisure.
 17:30 – Leaving Astara to Baku
 21:00 –Dinner Break (if included)
22:00 – Drop to the Hotel
Overnight in Baku</t>
  </si>
  <si>
    <t>09:00 – Leaving Baku to Astara (1 way x 3.5 hrs)
 - Scenic drive along the Caspian coastline and southern Azerbaijan, passing lush lowlands and forests.
 12:30 – Lunch Break
 13:30 - Astara Boulevard &amp; Caspian Coast – Enjoy a stroll along the waterfront and take in views of the Caspian Sea.
 - Astara Bazaar – Explore a local market with fresh produce, spices, and traditional crafts.
 - Astara Lighthouse – Visit the historic lighthouse and enjoy panoramic views of the coastline.
 14:30 – Continue Astara Tour
 - Guests can visit local parks, take photos of the surrounding nature, or explore the city at leisure.
 15:00 – Check-in to the Hotel
 18:00 –Dinner Break (if included)
 19:00 – Drop to the Hotel
Overnight in Astara</t>
  </si>
  <si>
    <t>Masalli</t>
  </si>
  <si>
    <t>09:00 – Leaving Baku to Masalli (1 way x 3.5 hrs)
- Scenic drive through southern Azerbaijan, passing lush lowlands and the Caspian coastal area.
 12:30 – Lunch Break
13:30 - Masalli City Tour – Explore the town, known for its traditional architecture and local markets.
 - Masalli Bazaar – Experience the vibrant market with fresh produce, spices, and handicrafts.
 - Local Parks &amp; Panoramic Views – Enjoy the green surroundings and take photos of the region’s scenic landscapes.
 15:00 – Continue Masalli Tour
- Guests can visit local cultural spots, stroll around town, and experience the local lifestyle.
 17:00 – Leaving Masalli to Baku
 20:30 – Dinner Break (if included)
21:30 – Drop to the Hotel
Overnight in baku</t>
  </si>
  <si>
    <t>09:00 – Leaving Baku to Masalli (1 way x 3.5 hrs)
 - Scenic drive through southern Azerbaijan, passing lush lowlands and the Caspian coastal area.
 12:30 – Lunch Break
13:30 - Masalli City Tour – Explore the town, known for its traditional architecture and local markets.
 - Masalli Bazaar – Experience the vibrant market with fresh produce, spices, and handicrafts.
 - Local Parks &amp; Panoramic Views – Enjoy the green surroundings and take photos of the region’s scenic landscapes.
 14:30 – Continue Masalli Tour
 - Guests can visit local cultural spots, stroll around town, and experience the local lifestyle.
 15:00 – Check-in to the Hotel
 18:00 – Dinner Break (if included)
19:00 – Drop to the Hotel
Overnight in Masalli</t>
  </si>
  <si>
    <t>Gobustan &amp; Gabala</t>
  </si>
  <si>
    <t>09:00 – Leaving Baku to Gobustan (1 way x 45 mins)
 10:00 – Reaching to Gobustan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11:00 – Leaving Gobustan to Gabala (1 way x 4,5 hrs)
12:30 – Lunch break 
15:30 - Reaching Gabala &amp; visiting Tufandagh Mountain Resort 
 18:00 – Leaving Gabala to Baku
22:30 – Dinner break (if included)
23:30 – Drop to the hotel
Overnight in Baku</t>
  </si>
  <si>
    <t>09:00 – Leaving Baku to Gobustan (1 way x 45 mins)
 10:00 – Reaching to Gobustan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11:00 – Leaving Gobustan to Gabala (1 way x 4,5 hrs)
 12:30 – Lunch break 
 16:30 - Check-in to the Hotel
 18:00 –Dinner break (if included)
 19:00 – Drop to the hotel
Overnight in Gabala</t>
  </si>
  <si>
    <t>Gobustan &amp; Baku</t>
  </si>
  <si>
    <t>09:00 – Leaving Gabala to Gobustan (1 way x 4,5 hrs)
 12:30 – Reaching to Gobustan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15:00 – Leaving Gobustan to Baku (1 way x 45 mins)
 18:00 - Dinner break (if included)
 19:00 – Check-in at the Hotel 
 Overnight in Baku</t>
  </si>
  <si>
    <t>Sheki</t>
  </si>
  <si>
    <t>08:00 – Depart from Baku to Sheki (1 way x 5,5 hrs)
 13:30 – Lunch Break
15:00 – Check-in to the Hotel 16:00 -Visit Church of Kish
 - Kish is one of the oldest villages in present-day Azerbaijan and is most known for the ancient Church of Saint Elisha from the period of Caucasian Albania. The current structure was built between the 10th–12th centuries. According to scholars, it stands on the original site where St. Elisha founded the first Christian church in the region, making it one of the earliest spiritual centers in the Caucasus.
 17:00 – Visit Sheki Fortress
 - Sheki Fortress was constructed to protect the historic center, which is now recognized as a UNESCO World Heritage Site. The original fortification walls once reached 8 meters in height and 2 meters in thickness, with defensive towers and arched gates. Although parts were destroyed, several sections have been preserved and restored.
 17:00 – Explore Sheki Karavansaray
 - This historic caravanserai served as a secure lodging place for merchants traveling along the Silk Road with their animals and trade goods. Today, it stands as one of the most iconic and culturally significant architectural landmarks in Sheki.
 18:00 Traditional Sheki Halva Tasting
- Experience Sheki’s famous halva — one of the region’s most well-known traditional sweets. It remains a highlight of local cuisine and a must-try specialty for visitors.
 18:30 – Dinner break (if included)
 19:30 – Drop at the Hotel
 Overnight in Sheki</t>
  </si>
  <si>
    <t>Ganja</t>
  </si>
  <si>
    <t>08:00 – Leaving Baku to Ganja (1 way x 5.5 hours)
13:00 – Lunch Break
13:35 – Visit Nizami Ganjavi Mausoleum &amp; Museum
 - The mausoleum of the great Azerbaijani poet Nizami Ganjavi is one of Ganja’s most important historical landmarks. Restored in 1990–1991, the complex is now a protected heritage site. The lower chambers contain the poet’s crypt, while the surrounding square features sculptures inspired by Nizami’s famous literary work, Khamsa.
 - In front of the mausoleum is the Nizami Ganjavi Museum, displaying original and replica manuscripts, rare miniatures, monographs, and books dedicated to the poet. Items exhibited include works preserved in world-renowned libraries and museums across Austria, Germany, Russia, the UK, Egypt, France, and the United States. The museum also includes a conference hall hosting cultural and educational programs.
14:00 – Walk along Javad Khan Street
 - One of Ganja’s main pedestrian streets, Javad Khan Street is named after the last khan of Ganja. Known for its historical red-brick architecture, the street blends renovated and original buildings, preserving traditional patterns and ornamentation. It is a lively, scenic location popular with both locals and visitors — ideal for strolling, sightseeing, and photography.
15:00 – Visit Nizami Ganjavi Square &amp; Javad Khan Tomb
 - This area holds great cultural and historical importance. The Javad Khan Mausoleum commemorates the bravery of Ganja’s last ruler, who died defending the city. The memorial stands as a meaningful tribute to past struggles and the resilience of the region.
16:00 – Leaving Ganja to Baku (1 way x 5,5 hours)
21:00 – Dinner Break (if included)
22:00 – Drop to the Hotel
Overnight in Baku</t>
  </si>
  <si>
    <t>08:00 – Leaving Baku to Ganja (1 way x 5.5 hours)
13:00 – Lunch Break
13:35 – Visit Nizami Ganjavi Mausoleum &amp; Museum
 - The mausoleum of the great Azerbaijani poet Nizami Ganjavi is one of Ganja’s most important historical landmarks. Restored in 1990–1991, the complex is now a protected heritage site. The lower chambers contain the poet’s crypt, while the surrounding square features sculptures inspired by Nizami’s famous literary work, Khamsa.
 - In front of the mausoleum is the Nizami Ganjavi Museum, displaying original and replica manuscripts, rare miniatures, monographs, and books dedicated to the poet. Items exhibited include works preserved in world-renowned libraries and museums across Austria, Germany, Russia, the UK, Egypt, France, and the United States. The museum also includes a conference hall hosting cultural and educational programs.
14:00 – Walk along Javad Khan Street
 - One of Ganja’s main pedestrian streets, Javad Khan Street is named after the last khan of Ganja. Known for its historical red-brick architecture, the street blends renovated and original buildings, preserving traditional patterns and ornamentation. It is a lively, scenic location popular with both locals and visitors — ideal for strolling, sightseeing, and photography.
15:00 – Check- in to the Hotel 16:00 Visit Nizami Ganjavi Square &amp; Javad Khan Tomb
 - This area holds great cultural and historical importance. The Javad Khan Mausoleum commemorates the bravery of Ganja’s last ruler, who died defending the city. The memorial stands as a meaningful tribute to past struggles and the resilience of the region.
18:00 – Dinner Break (if included)
19:00 – Drop to the Hotel
Overnight in Ganja</t>
  </si>
  <si>
    <t>Gakh</t>
  </si>
  <si>
    <t>08:00 – Leaving Baku to Gakh (1 way x 5 hrs)
13:00 – Lunch Break
14:00 – Visit Ilisu Village
 - Ilisu is a historic mountain village known for its stone houses, fresh air, waterfalls, and panoramic views. The village reflects preserved Caucasian architecture and traditional lifestyle.
15:00 – Visit Ulu Mosque (Ilisu Mosque)
 - Dating back to the 16th century, this mosque is an important cultural and religious landmark of the region and one of the oldest preserved Islamic structures in Gakh.
16:00 – Visit Sumug Gala (Defensive Tower)
 - A medieval defensive tower once used to guard Ilisu and monitor strategic mountain routes. Today it stands as a symbol of local heritage and offers scenic photo points.
16:30 – Leaving Gakh to Baku
21:00 – Dinner Break (if included)
22:00 – Drop to the Hotel
Overnight in Baku</t>
  </si>
  <si>
    <t>08:00 – Leaving Baku to Gakh (1 way x 5 hrs)
13:00 – Lunch Break
14:00 – Visit Ilisu Village
 - Ilisu is a historic mountain village known for its stone houses, fresh air, waterfalls, and panoramic views. The village reflects preserved Caucasian architecture and traditional lifestyle.
15:00 – Check-in to the Hotel Visit Ulu Mosque (Ilisu Mosque)
 - Dating back to the 16th century, this mosque is an important cultural and religious landmark of the region and one of the oldest preserved Islamic structures in Gakh.
16:00 – Visit Sumug Gala (Defensive Tower)
 - A medieval defensive tower once used to guard Ilisu and monitor strategic mountain routes. Today it stands as a symbol of local heritage and offers scenic photo points.
18:00 – Dinner Break (if included)
19:00 – Drop to the Hotel
Overnight in Gakh</t>
  </si>
  <si>
    <t>Zagatala</t>
  </si>
  <si>
    <t>09:00 – Leaving Baku to Zagatala (1 way takes 5 h 30 min)
14:30 – Lunch Break
15:30 – Explore Zaqatala city / surroundings
 (Free time for sightseeing, walking around town, maybe visiting local markets or nature nearby.)
17:00 – Leaving Zaqatala to Baku
21:30 – Dinner Break (if included)
21:30 – Drop to the Hotel
Overnight in Baku</t>
  </si>
  <si>
    <t>09:00 – Leaving Baku to Zagatala (1 way takes 5 h 30 min)
14:30 – Lunch Break
15:30 – Check-in to the Hotel
16:00 – Explore Zaqatala city / surroundings
 (Free time for sightseeing, walking around town, maybe visiting local markets or nature nearby.)
20:00 – Dinner Break (if included)
21:00 – Drop to the Hotel
Overnight in Zagatala</t>
  </si>
  <si>
    <t>09:00 – Leaving Gabala to Ismayilli (1 way x 1.5 hrs)
 10:45 – Visit Lahij Village (Optional)
 - Lahij is a historic mountain village famous for its cobbled streets, traditional handicrafts (copperware, carpets), and stone architecture. Visitors can see artisans at work, buy souvenirs, and enjoy panoramic mountain views.
 12:15 – Explore Ismayilli City / Nature Spots
 Visit local parks, rivers, or small mountain trails around Ismayilli. Optional short lunch stop in a local restaurant to taste Azerbaijani cuisine.
 14:30 – Lunch Break 15:30 – Visit Basgal Village (Optional)
 Another charming village nearby, known for its history and traditional craft workshops.
 16:00 – Depart from Ismayilli back to Gabala 
 17:30 – Arrive back in Gabala
 18:00 - Dinner break (if included) 
19:00 - Drop to the Hotel Overnight in Gabala</t>
  </si>
  <si>
    <t>08:00 – Leaving Gabala to Sheki (1 way x 1.5 hrs)
 09:30 – Arrive in Sheki
 09:45 – Visit Church of Kish
 - Kish is one of the oldest villages in Azerbaijan, famous for its ancient Church of Saint Elisha, dating from the 10th–12th centuries. Scholars believe the church stands on the original site founded by St. Elisha, making it one of the oldest spiritual centers in the Caucasus.
 10:45 – Explore Sheki Fortress
 - Built to protect the historic city center (now a UNESCO World Heritage Site), the fortress originally had 8-meter-high walls and 2-meter-thick fortifications with defensive towers and arched gateways. Some parts have been restored, allowing visitors to experience its historic significance.
 11:45 – Visit Sheki Karavansaray
 - This Silk Road caravanserai historically provided safe lodging for merchants traveling with camels and goods. Today, it is one of Sheki’s iconic landmarks and a must-see cultural site.
 12:30 – Taste Sheki Halva
 - Enjoy Sheki’s famous traditional halva — one of the region’s most beloved culinary specialties.
 13:00 – Lunch Break 
 14:00 – Arrive back in Gabala 
 18:00 – Dinner Break (if included) 
 19:00 – Drop to the Hotel
 Overnight in Gabala</t>
  </si>
  <si>
    <t xml:space="preserve">Besbarmaq Mountains </t>
  </si>
  <si>
    <t>09:00 – Leaving Baku to Beshbarmag (1 way x 1.5 hrs)
10:30 – Arrive at Beshbarmag Mountain 
10:45 – Visit Beshbarmag Mountain
 • Beshbarmag (literally “Five Fingers Mountain”) stands at about 382 m / ≈ 500 m above sea level and is a famous natural and spiritual landmark near the Caspian Sea. 
 • The hike/trail from the car park to the rocky peak (or sacred “pir / shrine” zone) is fairly accessible; many visit to enjoy the views of the sea and surrounding plains, or for its local spiritual significance. 
12:30 – Leaving Beshbarmag to Baku (1 way x 1,5 hrs)
14:00 – Lunch Break 
15:00 – Drop to the Hotel 
 Overnight in Baku</t>
  </si>
  <si>
    <t>Red Bridge</t>
  </si>
  <si>
    <t>1 Way Transfer</t>
  </si>
  <si>
    <t>08:30 – Leaving Baku to Red Bridge (1 way x 6,5 hrs)
 14:00 – Lunch Break
 14:15 – Visit and explore Red Bridge - The Red Bridge is a historical architectural monument built over the Khrami (or “Khram”) river, known for its red brick construction. The structure dates back to the 12th/17th centuries and has four spans. In the past, the area around the bridge included caravanserai style accommodations for merchants traveling along major trade routes. 
 15:00 – Leaving Red Bridge back to Baku 
 21:00 – Dinner Break (if included) (1 way x 6,5 hrs)
 22:00 – Drop to the Hotel 
 Overnight in Baku</t>
  </si>
  <si>
    <t>Laqodexi</t>
  </si>
  <si>
    <t xml:space="preserve">1 Way Transfer </t>
  </si>
  <si>
    <t>Leaving Baku to Laqodexi Border (1 way x 7 hrs)
- Travel distance: 450 km
- The route is mainly highway, with scenic mountain views along parts of the way.
- Arrive at Laqodexi / Azerbaijan–Georgia Border</t>
  </si>
  <si>
    <t>Sheki-Ganja</t>
  </si>
  <si>
    <t>08:00 – Leaving Gabala to Sheki (1 way x 1.5 hrs)
 09:30 – Arrive at Sheki 
 - Church of Kish – An ancient church dating back to the 10–12th centuries, one of the oldest spiritual centers in the Caucasus.
 - Sheki Fortress – Historic fortress with partial restoration, originally built to protect the city center.
 - Sheki Karavansaray – A Silk Road inn used by merchants, now a cultural landmark.
 - Sheki Halva Tasting – Traditional sweet specialty, highly recommended for visitors.
 12:30 - Lunch Break 
 13:30 – Leaving Sheki to Ganja (1 way x 2.5 hrs)
 16:00 – Arrive at Ganja
 - Nizami Ganjavi Mausoleum – Honoring Azerbaijan’s famous poet, featuring a beautifully restored monument and crypt.
 - Javad Khan Tomb – Memorial to Ganja’s last khan, who defended the city; a historical landmark.
 - Javad Khan Street – Central street showcasing Ganja’s architectural heritage and cultural vibe.
 18:00 – Leaving Ganja to Gabala
 20:30 – Dinner Break (if included) 
 21:30 – Drop to the hotel
Overnight in Gabala</t>
  </si>
  <si>
    <t>09:00 – Leaving Sheki to Ganja (1 way x 2.5 hrs)
11:30 – Arrive in Ganja
 - Nizami Ganjavi Mausoleum
 - Monument honoring Azerbaijan’s famous poet Nizami Ganjavi.
 - Features a restored mausoleum and poet’s crypt; surrounded by a square with sculptures representing Nizami’s Khamsa.
 12:30 – Javad Khan Tomb
 • Memorial to Ganja’s last khan, who defended the city.
 • Historical site reflecting the city’s past struggles and heroism. 
 14:00 – Lunch Break
 15:00 – Javad Khan Street
 • One of Ganja’s central streets, showcasing the city’s architectural heritage and cultural atmosphere.
 16:00 – Leaving Ganja to Sheki (1 way x 2.5 hrs)
 18:30 –Dinner Break (if included) 
 19:30 - Drop to the Hotel
 Overnight in Sheki</t>
  </si>
  <si>
    <t>Gobustan + Old City Tour</t>
  </si>
  <si>
    <t>Private Transfer</t>
  </si>
  <si>
    <t>09:00 – Leaving from Baku to Gobustan (1 way x 45 mins)
 10:00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 way x 45 mins)
 13:00 – Lunch Break
 14:00 -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18:00 – Dinner Break (if includes)
 19:00 – Drop to the Hotel 
 Overnight in Baku</t>
  </si>
  <si>
    <t>Gobustan + Nizami Street</t>
  </si>
  <si>
    <t>09:00 – Leaving from Baku to Gobustan (1 way x 45 mins)
10:00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 way x 45 mins)
13:00 – Lunch Break
14:00 – Visiting Nizami Streets
 • One of the city’s main pedestrian streets known for shopping, cafés, and historic architecture. Popular walking area with boutiques, souvenir shops, and local restaurants.
18:00 – Dinner Break (if includes)
19:00 – Drop to the Hotel 
Overnight in Baku</t>
  </si>
  <si>
    <t>Gobustan + Boulevard Tour</t>
  </si>
  <si>
    <t>09:00 – Leaving from Baku to Gobustan (1 way x 45 mins)
10:00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 way x 45 mins)
13:00 – Lunch Break
14:00 – Baku Boulevard tour starts along the Boulevard (Photostop) by followed places: 
 - Mini Venice of Baku – A charming canal area where you can enjoy gondola-style boat rides in the heart of the city.
 - Deniz Mall – A modern seafront shopping and entertainment center with restaurants, cinemas, and family attractions.
 - Ferris Wheel – A scenic observation wheel offering beautiful panoramic views of the Caspian Sea and Baku Boulevard.
 - Carpet Museum – A uniquely designed museum showcasing Azerbaijan’s rich carpet-weaving heritage and centuries-old masterpieces.
 - Crystal Hall – A spectacular indoor arena famous for hosting major concerts and international events.
 18:00 – Dinner Break (if includes)
 19:00 – Drop to the Hotel 
Overnight in Baku</t>
  </si>
  <si>
    <t>Gobustan + Panaromic City Tour</t>
  </si>
  <si>
    <t>09:00 – Leaving from Baku to Gobustan (1 way x 45 mins)
10:00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13:00 – Lunch Break
14:00 –Evening City Tour starts with panoramic full evening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18:00 – Dinner Break (if includes)
19:00 – Drop to the Hotel 
Overnight in Baku</t>
  </si>
  <si>
    <t>Gobustan + Heydar Aliyev Centre</t>
  </si>
  <si>
    <t>09:00 – Leaving Baku to Gobustan (1 way x 45 mins)
 10:00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13:00 – Lunch Break
14:00 –Visit to Heydar Aliyev Center &amp; “I LOVE BAKU” sign Photostop
 -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18:00 – Dinner Break (if includes)
19:00 – Drop to the Hotel 
Overnight in Baku</t>
  </si>
  <si>
    <t>Gobustan + Absheron Tour</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</si>
  <si>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12:00 – Leaving Absheron to Baku
12:30 – Lunch Break
13:30 –Leaving from Baku to Gobustan (1 way takes 45 min)
14:30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17:00 - Leaving Gobustan to Baku 
18:00 – Dinner Break (if includes)
19:00 – Drop to the Hotel 
Overnight in Baku</t>
  </si>
  <si>
    <t>Gobustan + Airport Drop</t>
  </si>
  <si>
    <t>10:00 – Depart from Baku to Gobustan (1 way x 45 mins)
 11:00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Depart Gobustan to Baku (1 way x 45 mins)
 13:15 – Arrive in Baku
 • Drop off at GYD Airport based on flight time.</t>
  </si>
  <si>
    <t>Gobustan + Shopping Drop</t>
  </si>
  <si>
    <t>10:00 – Leaving Baku to Gobustan (1 way x 45 mins)
11:00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13:00 – Lunch Break
14:00 – 3 hours' shopping allowance at one of the selected mall: 
 - Deniz Mall
 - Ganjlik Mall
 - 28 Mall
 - Port Baku Mall
 - Park Bulvar Mall
 - Crescent Mall
18:00 – Dinner Break (if includes)
19:00 – Drop to the Hotel 
Overnight in Baku</t>
  </si>
  <si>
    <t>Gobustan + Hotel Drop</t>
  </si>
  <si>
    <t>10:00 – Leaving Baku to Gobustan (1 way x 45 mins)
11:00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13:00 – Lunch Break
14:00 – Drop to the Hotel
18:00 – Dinner Transfer (if included)
20:00 - Transfer back to Hotel (if included)
Overnight in Baku</t>
  </si>
  <si>
    <t>Gobustan + Fountain Square walking Tour</t>
  </si>
  <si>
    <t>10:00 – Leaving Baku to Gobustan (1 way x 45 mins)
11:00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 way x 45 mins)
13:00 – Lunch Break
14:00 – Fountain Square Walking Tour
 • Stroll through Fountain Square, Baku’s vibrant pedestrian area with historic architecture, fountains, and street performers.
 • Explore nearby streets, shops, and cafés, experiencing the lively atmosphere of the city.
 • Photo opportunities and chance to buy local souvenirs.
18:00 – Dinner Break (if included)
19:00 – Drop to the Hotel 
Overnight in Baku</t>
  </si>
  <si>
    <t>Gobustan + Shooting range</t>
  </si>
  <si>
    <t>10:00 – Leaving Baku to Gobustan (1 way x 45 mins)
11:00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 way x 45 mins)
13:00 – Lunch Break 
14:00 – Shooting Range Experience
 • Visit a professional shooting center in Baku for rifle or pistol shooting.
 • Safety briefing and supervision by trained instructors.
 • Opportunity to try multiple rounds and enjoy a controlled, fun experience.
18:00 – Dinner Break (if includes)
19:00 – Drop to the Hotel 
Overnight in Baku</t>
  </si>
  <si>
    <t>Gobustan + Go Karting Indoor</t>
  </si>
  <si>
    <t>10:00 – Leaving Baku to Gobustan (1 way x 45 mins)
 11:00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 way x 45 mins)
 13:00 – Lunch Break 
 14:00 – Indoor Go-Karting Experience
 • Experience indoor racing in a safe, professional go-karting facility.
 • Gear and instructions are provided for all participants.
 • Fun for all ages; competitive and recreational laps available.
 18:00 – Dinner Break (if includes)
 19:00 – Drop to the Hotel 
 Overnight in Baku</t>
  </si>
  <si>
    <t>Gobustan + Go Karting Outdoor</t>
  </si>
  <si>
    <t>10:00 – Leaving Baku to Gobustan (1 way x 45 mins)
 11:00 – Arrive at Gobustan National Park
-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12:00 – Leaving Gobustan to Baku (1 way x 45 mins)
13:00 – Lunch Break 
14:00 – Outdoor Go-Karting Experience
 • Race on a professional outdoor go-kart track with full safety gear and supervision.
 • Experience the thrill of high-speed laps in a safe, controlled environment.
18:00 – Dinner Break (if includes)
19:00 – Drop to the Hotel 
 Overnight in Baku</t>
  </si>
  <si>
    <t>Absheron + Old City Tour</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</si>
  <si>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14:30 -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18:00 – Dinner Break (if includes)
19:00 – Drop to the Hotel 
Overnight in Baku</t>
  </si>
  <si>
    <t>Absheron + Nizami Street</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</si>
  <si>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Visiting Nizami Street
 • One of the city’s main pedestrian streets known for shopping, cafés, and historic architecture.
 Popular walking area with boutiques, souvenir shops, and local restaurants.
18:00 – Dinner Break (if included)
19:00 – Drop to the Hotel 
Overnight in Baku</t>
  </si>
  <si>
    <t>Absheron + Boulevard Tour</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</si>
  <si>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14:30 – Boulevard Walking Tour
 • Stroll along Baku Boulevard, the city’s famous seaside promenade.
• Enjoy scenic views of the Caspian Sea, modern architecture, and fountains.
• Photo stops, leisure walk, and optional boat ride along the boulevard.
• Opportunity to visit small local shops, cafés, and enjoy the lively atmosphere.
18:00 – Dinner Break (if included)
19:00 –Drop to Hotel
Overnight in Baku</t>
  </si>
  <si>
    <t>Absheron + Panaromic City Tour</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</si>
  <si>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Panoramic City Tour of Baku
 • Drive through and stop at Baku Boulevard, Fountain Square, Flame Towers, and National Flag Square.
• Enjoy panoramic views of the Caspian Sea, the city skyline, and architectural highlights.
 • Photo stops at landmarks and opportunity to learn about Baku’s history and modern development.
 18:00 – Dinner Break (if included)
 19:00 –Drop to Hotel
 Overnight in Baku</t>
  </si>
  <si>
    <t>Absheron + Heydar Aliyev Centre</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</si>
  <si>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Heydar Aliyev Center Tour 
 • Explore the Heydar Aliyev Center, an architectural masterpiece designed by Zaha Hadid.
 • The center is famous for its fluid, curved design and is a hub for cultural exhibitions, art, and innovation.
 • Learn about Azerbaijan’s history, culture, and contemporary art through interactive displays and 
exhibitions.
 • Photo opportunities around the iconic building and interior spaces.
 18:00 – Dinner Break (if included)
 19:00 –Drop to Hotel
 Overnight in Baku</t>
  </si>
  <si>
    <t>Absheron + Airport Drop</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</si>
  <si>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GYD Airport
 • Drop off at GYD Airport based on flight time.</t>
  </si>
  <si>
    <t>Absheron + Shopping Drop</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</si>
  <si>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3 hours' shopping allowance at one of the selected mall: 
 - Deniz Mall
 - Ganjlik Mall
 - 28 Mall
 - Port Baku Mall
 - Park Bulvar Mall
 - Crescent Mall
 18:00 – Dinner Break (if included)
 19:00 –Drop to Hotel
 Overnight in Baku</t>
  </si>
  <si>
    <t>Absheron + Hotel Drop</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</si>
  <si>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–Drop to Hotel
 18:00 –Dinner Break (if included)
 Overnight in Baku</t>
  </si>
  <si>
    <t>Absheron + Fountain Square walking Tour</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</si>
  <si>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Fountain Square Walking Tour
 • Stroll through Fountain Square, the heart of Baku’s pedestrian zone.
 • Explore cafés, boutique shops, and historic architecture.
 • Photo opportunities at fountains, monuments, and streets lined with local artisans and restaurants.
 18:00 – Dinner Break (if included)
 19:00 –Drop to Hotel
 Overnight in Baku</t>
  </si>
  <si>
    <t>Absheron + Shooting range</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</si>
  <si>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Shooting Range Experience
 • Guests can try rifle or pistol shooting under professional supervision.
 • Safety briefing and all necessary equipment provided.
 • Note: Guests with back or spine issues are not allowed to participate.
 • Opportunity to test accuracy, enjoy the thrill, and take photos.
 18:00 – Dinner Break (if included)
 19:00 –Drop to Hotel
 Overnight in Baku</t>
  </si>
  <si>
    <t>Absheron + Indoor Go Karting</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</si>
  <si>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Indoor Go Karting Experience
 • Enjoy an adrenaline-filled karting session on a modern indoor track.
 • Safety briefing and equipment provided before racing.
 • Opportunity for timed laps and friendly competition.
 18:00 – Dinner Break (if included)
 19:00 –Drop to Hotel
 Overnight in Baku</t>
  </si>
  <si>
    <t>Absheron + Outdoor Go Karting</t>
  </si>
  <si>
    <t>10:00 – Leaving Baku to Absheron (1 way x 30 mins)
 10:30 – Visit to Fire Temple (Ateshgah)
 - An ancient Zoroastrian site where flames were historically kept burning as part of religious rituals. The temple provides insight into Azerbaijan’s early religious history and Zoroastrian culture. Visitors can explore the site and learn about the traditions of fire worship.
 11.30 - Burning Mountains (Yanardag)
 - A natural gas hillside that has been burning continuously for decades, creating a unique “burning mountain” phenomenon. It is a famous landmark of Azerbaijan, offering visitors spectacular views and a memorable experience of the country’s natural fiery landscape.
 12:30 – Leaving Absheron to Baku
 13:00 – Lunch Break
 14:00 – Outdoor Go Karting Experience
 • Experience high-speed racing on an open-air karting track.
 • Safety briefing and equipment provided before the race.
 • Enjoy fresh air, wide curves, and longer straights for an exciting outdoor karting session.
 • Opportunity for timed laps, friendly competitions, and photos at the track.
 16:00 – Panoramic City Tour of Baku
 • Drive through and stop at Baku Boulevard, Fountain Square, Flame Towers, and National Flag Square.
 • Enjoy panoramic views of the Caspian Sea, the city skyline, and architectural highlights.
 • Photo stops at landmarks and opportunity to learn about Baku’s history and modern development.
 18:00 – Dinner Break (if included)
 19:00 –Drop to Hotel
 Overnight in Baku</t>
  </si>
  <si>
    <t>Old City Tour + Nizami Street</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</si>
  <si>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Nizami Street Walking Tour 
 • One of the city’s main pedestrian streets known for shopping, cafés, and historic architecture.
 • Popular walking area with boutiques, souvenir shops, and local restaurants.
 18:00 – Dinner Break (if included)
 19:00 –Drop to Hotel
 Overnight in Baku</t>
  </si>
  <si>
    <t>Old City Tour + Boulevard Tour</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</si>
  <si>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Baku boulevard tour starts along the Seaside (Photostop) followed by: 
 -Carpet Museum 
 -Mini Venice of Baku
 -Deniz Mall 
 -Ferries Wheel 
 -Carpet Museums
 -Cristal Hall
 18:00 – Dinner Break (if included)
19:00 –Drop to Hotel
Overnight in Baku</t>
  </si>
  <si>
    <t>Old City Tour + Panaromic City Tour</t>
  </si>
  <si>
    <t xml:space="preserve">Private Transfer	</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</si>
  <si>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Evening City Tour starts with panoramic full evening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18:00 – Dinner Break (if included)
19:00 –Drop to Hotel
Overnight in Baku</t>
  </si>
  <si>
    <t>Old City Tour + Heydar Aliyev Centre</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</si>
  <si>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Visit the Heydar Aliyev Centre
 - Visit to Heydar Aliyev Center &amp; “I LOVE BAKU” sign Photostop
 -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18:00 – Dinner Break (if included)
19:00 –Drop to Hotel
Overnight in Baku</t>
  </si>
  <si>
    <t>Old City Tour + Airport Drop</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</si>
  <si>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 Drop off at GYD Airport based on flight time.</t>
  </si>
  <si>
    <t>Old City Tour + Shopping Drop</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</si>
  <si>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3 hours' shopping allowance at one of the selected mall: 
 - Deniz Mall
 - Ganjlik Mall
 - 28 Mall
 - Port Baku Mall
 - Park Bulvar Mall
 - Crescent Mall
 18:00 – Dinner Break (if included)
 19:00 –Drop to Hotel
 Overnight in Baku</t>
  </si>
  <si>
    <t>Old City Tour + Hotel Drop</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</si>
  <si>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–Drop to Hotel
 18:00 – Dinner Break (if included)
20:00 - Transfer back to Hotel (if Dinner included)
 Overnight in Baku</t>
  </si>
  <si>
    <t>Old City Tour + Fountain Square Walking Tour</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</si>
  <si>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18:00 – Dinner Break (if included)
 19:00 –Drop to Hotel
 Overnight in Baku</t>
  </si>
  <si>
    <t>Old City Tour + Shooting Range</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</si>
  <si>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Shooting Range Activity
 • Safety briefing and equipment introduction by trained instructors.
 • Practice shooting with various firearms (options depend on the facility).
 • Supervised shooting session suitable for beginners and experienced participants.
 • Photo opportunities and optional add-on rounds depending on the package.
 18:00 – Dinner Break (if included)
 19:00 –Drop to Hotel
 Overnight in Baku</t>
  </si>
  <si>
    <t>Old City Tour + Indoor Go Karting</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</si>
  <si>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Indoor Go Karting Session
• Safety briefing and equipment guidance by professional staff.
• Enjoy fast-paced laps on a modern indoor track.
• Suitable for beginners and experienced drivers.
• Optional additional laps or race modes depending on the package.
• Photo and video opportunities inside the karting area.
18:00 – Dinner Break (if included)
19:00 –Drop to Hotel
Overnight in Baku</t>
  </si>
  <si>
    <t>Old City Tour + Outdoor Go Karting</t>
  </si>
  <si>
    <t>10:00 – Leaving Hotel to Old City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14:00 – Indoor Go Karting Session
 - Upon arrival, instructors provide safety guidance before you take to the track. You will enjoy a thrilling karting experience suitable for all levels, with optional extra laps or competitive races depending on your package. You can also take photos or videos during the visit.
 18:00 – Dinner Break (if included)
 19:00 –Drop to Hotel
 Overnight in Baku</t>
  </si>
  <si>
    <t>Nizami Street + Boulevard Tour</t>
  </si>
  <si>
    <t>10:00 – Leaving from Hotel to Nizami Street Walking Tour 
 • One of the city’s main pedestrian streets known for shopping, cafés, and historic architecture.
 Popular walking area with boutiques, souvenir shops, and local restaurants.
 13:00 – Lunch Break
 14:00 - Baku boulevard tour starts along the Seaside (Photostop) followed by: 
 - Carpet Museum 
 - Mini Venice of Baku
 - Deniz Mall 
 - Ferries Wheel 
 - Carpet Museums
 - Cristal Hall
 18:00 – Dinner Break (if included)
 19:00 –Drop to Hotel
 Overnight in Baku</t>
  </si>
  <si>
    <t>Nizami Street + Panaromic City Tour</t>
  </si>
  <si>
    <t>10:00 – Leaving from Hotel to Nizami Street Walking Tour 
 • One of the city’s main pedestrian streets known for shopping, cafés, and historic architecture.
 Popular walking area with boutiques, souvenir shops, and local restaurants.
 13:00 – Lunch Break
14:00 –Evening City Tour starts with panoramic full evening city view of Baku followed by:
 - Highland Park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is the city's tallest building. The height of 182 m. Flame Towers - consisting of three high-rise buildings in the complex.
 18:00 – Dinner Break (if included)
19:00 –Drop to Hotel
Overnight in Baku</t>
  </si>
  <si>
    <t>Nizami Street + Heydar Aliyev Centre</t>
  </si>
  <si>
    <t>10:00 – Leaving from Hotel to Nizami Street Walking Tour 
 • One of the city’s main pedestrian streets known for shopping, cafés, and historic architecture.
 Popular walking area with boutiques, souvenir shops, and local restaurants.
 13:00 – Lunch Break
14:00 – Visit Heydar Aliyev Centre
 - You begin exploring the Heydar Aliyev Centre, a world-renowned masterpiece designed by architect Zaha Hadid. The building’s flowing, curved design creates a striking contrast to the surrounding cityscape, making it one of Baku’s most photographed structures. Inside, you may visit the museum halls, cultural exhibitions, and art installations that reflect Azerbaijan’s heritage and contemporary creativity. The vast open spaces, modern gallery designs, and innovative displays offer both visual and cultural insight, while the exterior grounds provide excellent photo opportunities.
 18:00 – Dinner Break (if included)
19:00 –Drop to Hotel
Overnight in Baku</t>
  </si>
  <si>
    <t>Nizami Street + Airport Drop</t>
  </si>
  <si>
    <t>10:00 – Leaving from Hotel to Nizami Street 
- Nizami Street Walking Tour. One of the city’s main pedestrian streets known for shopping, cafés, and historic architecture.
 Popular walking area with boutiques, souvenir shops, and local restaurants.
 - Drop off at GYD Airport based on flight time.</t>
  </si>
  <si>
    <t>Nizami Street + Shopping Drop</t>
  </si>
  <si>
    <t>10:00 – Leaving from Hotel to Nizami Street 
 • One of the city’s main pedestrian streets known for shopping, cafés, and historic architecture.
 Popular walking area with boutiques, souvenir shops, and local restaurants.
13:00 – Lunch Break 
14:00 -Shopping Tour starts. Guests are free to choose any of below Shopping Malls: 
 • Park Boulevard Mall
 • Port Baku Mall 
 • Ganjlik Mall
 • Nargiz Mall
 • Deniz Mall
 • 28th Mall
 • Green Bazaar
 18:00 – Dinner Break (if included)
 19:00 –Drop to Hotel
 Overnight in Baku</t>
  </si>
  <si>
    <t>Nizami Street + Hotel Drop</t>
  </si>
  <si>
    <t>10:00 – Leaving from Hotel to Nizami Street 
 • One of the city’s main pedestrian streets known for shopping, cafés, and historic architecture.
 Popular walking area with boutiques, souvenir shops, and local restaurants.
13:00 – Lunch Break 
18:00 – Dinner Break (if included)
19:00 –Drop to Hotel
Overnight in Baku</t>
  </si>
  <si>
    <t>Nizami Street + Shooting range</t>
  </si>
  <si>
    <t>10:00 – Leaving from Hotel to Nizami Street 
 • One of the city’s main pedestrian streets known for shopping, cafés, and historic architecture.
 Popular walking area with boutiques, souvenir shops, and local restaurants.
13:00 – Lunch Break 
14:00 – Shooting Range
- After lunch, you make your way toward the shooting range facility located within the city area, transitioning from the lively street environment to a more focused and controlled activity space.
 You will begin your shooting experience under the guidance of trained professionals who provide safety instructions and help you select appropriate equipment. The session allows you to practice target shooting in a secure indoor environment, making it an engaging and memorable activity for those looking to add excitement to their day. Whether you are a beginner or have prior experience, the range offers a structured and enjoyable session tailored to your comfort level.
18:00 – Dinner Break (if included)
19:00 –Drop to Hotel
Overnight in Baku</t>
  </si>
  <si>
    <t>Nizami Street + Indoor Go Karting</t>
  </si>
  <si>
    <t>10:00 – Leaving from Hotel to Nizami Street 
 • One of the city’s main pedestrian streets known for shopping, cafés, and historic architecture.
 Popular walking area with boutiques, souvenir shops, and local restaurants.
13:00 – Lunch Break 
14:00 – Indoor Go Karting Center
- You begin your go-karting session inside a professionally designed track where safety briefings and equipment are provided. The experience offers fast-paced fun as you race around the track, enjoying sharp turns, competitive speeds, and a thrilling atmosphere suitable for both beginners and experienced drivers. It’s an exhilarating way to add energy and excitement to your day in Baku.
18:00 – Dinner Break (if included)
19:00 –Drop to Hotel
Overnight in Baku</t>
  </si>
  <si>
    <t>Nizami Street + Outdoor Go Karting</t>
  </si>
  <si>
    <t>10:00 – Leaving from Hotel to Nizami Street 
 • One of the city’s main pedestrian streets known for shopping, cafés, and historic architecture.
 • Popular walking area with boutiques, souvenir shops, and local restaurants.
 13:00 – Lunch Break 
 14:00 – Outdoor Go Karting Track
 - You begin your go-karting session on a professionally designed outdoor track where safety instructions and equipment are provided before you start. The open-air setting enhances the thrill as you race through straights and curves, feeling the excitement of competitive driving in a spacious outdoor arena. Whether you are a first-time driver or an experienced racer, the track provides an exhilarating and memorable experience that brings a burst of adrenaline to your day.
 18:00 – Dinner Break (if included)
 19:00 –Drop to Hotel
 Overnight in Baku</t>
  </si>
  <si>
    <t>Boulevard Tour + Panaromic City Tour</t>
  </si>
  <si>
    <t>10:00 – Leaving Hotel to Baku Boulevard 
 Baku boulevard tour starts along the Baku Boulevard followed by: 
 - Carpet Museum 
 - Mini Venice of Baku
 - Deniz Mall 
 - Ferries Wheel 
 - Carpet Museums
 - Cristal Hall
 13:00 – Lunch Break
 14:00 – Evening City Tour starts with panoramic full evening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18:00 – Dinner Break (if included)
 19:00 –Drop to Hotel
 Overnight in Baku</t>
  </si>
  <si>
    <t>Boulevard Tour + Heydar Aliyev Centre</t>
  </si>
  <si>
    <t>10:00 – Leaving Hotel to Baku Boulevard 
 Baku boulevard tour starts along the Baku Boulevard followed by: 
 - Carpet Museum 
 - Mini Venice of Baku
 - Deniz Mall 
 - Ferries Wheel 
 - Carpet Museums
 - Cristal Hall
 13:00 – Lunch Break
 14:00 – Visit to Heydar Aliyev Center &amp; “I LOVE BAKU” sign Photostop
 -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18:00 – Dinner Break (if included)
 19:00 –Drop to Hotel
 Overnight in Baku</t>
  </si>
  <si>
    <t>Boulevard Tour + Airport Drop</t>
  </si>
  <si>
    <t>10:00 – Leaving Hotel to Baku Boulevard 
 Baku boulevard tour starts along the Baku Boulevard followed by: 
 - Carpet Museum 
 - Mini Venice of Baku
 - Deniz Mall 
 - Ferries Wheel 
 - Carpet Museums
 - Cristal Hall
- Drop off at GYD Airport based on flight time.</t>
  </si>
  <si>
    <t>Boulevard Tour + Shopping Drop</t>
  </si>
  <si>
    <t>10:00 – Leaving Hotel to Baku Boulevard 
 Baku boulevard tour starts along the Baku Boulevard followed by: 
 - Carpet Museum 
 - Mini Venice of Baku
 - Deniz Mall 
 - Ferries Wheel 
 - Carpet Museums
 - Cristal Hall
 13:00 – Lunch Break
 15:00 Shopping tour
- Guests are free to choose any of below Shopping Malls: 
• Park Boulevard Mall
 • Port Baku Mall 
 • Ganjlik Mall
 • Nargiz Mall
 • Deniz Mall
 • 28th Mall
 • Crescent Mall
 18:00 – Dinner Break (if included)
19:00 –Drop to Hotel
 Overnight in Baku</t>
  </si>
  <si>
    <t>Boulevard Tour + Hotel Drop</t>
  </si>
  <si>
    <t>10:00 – Leaving Hotel to Baku Boulevard 
- Baku boulevard tour starts along the Baku Boulevard followed by: 
 - Carpet Museum 
 - Mini Venice of Baku
 - Deniz Mall 
 - Ferries Wheel 
 - Carpet Museums
 - Cristal Hall
13:00 – Lunch Break
18:00 – Dinner Break (if included)
19:00 –Drop to Hotel
Overnight in Baku</t>
  </si>
  <si>
    <t>Boulevard Tour + Shooting range</t>
  </si>
  <si>
    <t>10:00 – Leaving Hotel to Baku Boulevard 
 Baku boulevard tour starts along the Baku Boulevard followed by: 
 - Carpet Museum 
 - Mini Venice of Baku
 - Deniz Mall 
 - Ferries Wheel 
 - Carpet Museums
 - Cristal Hall
 13:00 – Lunch Break
 14:00 – Shooting Experience Begins
 - Visit the Baku Shooting Center, one of Europe’s largest and most advanced shooting facilities. The center offers professional equipment, safe practice zones, and a memorable shooting experience for beginners and enthusiasts.
 18:00 – Dinner Break (if included)
 19:00 –Drop to Hotel
 Overnight in Baku</t>
  </si>
  <si>
    <t>Boulevard Tour + Indoor Go Karting</t>
  </si>
  <si>
    <t>10:00 – Leaving Hotel to Baku Boulevard 
 Baku boulevard tour starts along the Baku Boulevard followed by: 
 - Carpet Museum 
 - Mini Venice of Baku
 - Deniz Mall 
 - Ferries Wheel 
 - Carpet Museums
 - Cristal Hall
13:00 – Lunch Break
 14:00 – Shooting Range 
 - At the shooting range, you enjoy a hands-on shooting session under proper supervision. The experience includes safe guidance from trained staff, the use of selected firearms, and the opportunity to test your accuracy and focus. It’s an exciting and controlled activity designed for both beginners and experienced participants.
 18:00 – Dinner Break (if included)
 19:00 –Drop to Hotel
 Overnight in Baku</t>
  </si>
  <si>
    <t>Boulevard Tour + Outdoor Go Karting</t>
  </si>
  <si>
    <t>10:00 – Leaving Hotel to Baku Boulevard 
 Baku boulevard tour starts along the Baku Boulevard followed by: 
 - Carpet Museum 
 - Mini Venice of Baku
 - Deniz Mall 
 - Ferries Wheel 
 - Carpet Museums
 - Cristal Hall
 13:00 – Lunch Break
 14:00 – Outdoor Go Karting Track 
 - At the track, you enjoy an exciting karting session in a dynamic outdoor setting. With spacious racing lanes, fresh air, and modern karts, the experience delivers a thrilling blend of speed and adrenaline. Safety gear is provided on-site, allowing you to enjoy the activity confidently and comfortably.
 18:00 – Dinner Break (if included)
 19:00 –Drop to Hotel
 Overnight in Baku</t>
  </si>
  <si>
    <t>Panaromic City Tour + Heydar Aliyev Centre</t>
  </si>
  <si>
    <t>10:00 – Leaving Hotel to Panoramic City Tour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is the city's tallest building. The height of 182 m. Flame Towers - consisting of three high-rise buildings in the complex.
 13:00 – Lunch Break
 14:00 – Heydar Aliyev Centre 
- Visit to Heydar Aliyev Center &amp; “I LOVE BAKU” sign Photostop
 -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18:00 – Dinner Break (if included)
19:00 –Drop to Hotel
 Overnight in Baku</t>
  </si>
  <si>
    <t>Panaromic City Tour + Airport Drop</t>
  </si>
  <si>
    <t>10:00 – Leaving Hotel to Panoramic City Tour 
-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 Drop off at GYD Airport based on flight time.</t>
  </si>
  <si>
    <t>Panaromic City Tour + Shopping Drop</t>
  </si>
  <si>
    <t>10:00 – Leaving Hotel to Panoramic City Tour 
-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13:00 –Lunch Break
14:00 - Guests are free to choose any of below Shopping Malls: 
 • Park Boulevard Mall
 • Port Baku Mall 
 • Ganjlik Mall
 • Nargiz Mall
 • Deniz Mall
 • 28th Mall
 • Crescent Mal
18:00 – Dinner Break (if included)
19:00 –Drop to Hotel
Overnight in Baku</t>
  </si>
  <si>
    <t>Panaromic City Tour + Hotel Drop</t>
  </si>
  <si>
    <t>10:00 – Leaving Hotel to Panoramic City Tour 
-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13:00 –Lunch Break
18:00 – Dinner Break (if included)
19:00 –Drop to Hotel
Overnight in Baku</t>
  </si>
  <si>
    <t>Panaromic City Tour + Fountain Square walking Tour</t>
  </si>
  <si>
    <t>10:00 – Leaving Hotel to Panoramic City Tour 
-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13:00 –Lunch Break
14:00 – Fountain Square Tour 
 - At Fountain Square, you explore its lively streets filled with cafés, boutique shops, historic façades, and charming pedestrian zones. The atmosphere is relaxed and energetic, making it perfect for people-watching, taking photos, enjoying a drink, or simply wandering through the area’s cultural and social hotspots. The walk provides an engaging blend of modern city life and traditional urban charm.
18:00 – Dinner Break (if included)
19:00 –Drop to Hotel
Overnight in Baku</t>
  </si>
  <si>
    <t>Panaromic City Tour + Shooting range</t>
  </si>
  <si>
    <t>10:00 – Leaving Hotel to Panoramic City Tour 
-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13:00 –Lunch Break
14:00 – Shooting Experience
- Visit the Baku Shooting Center, one of Europe’s largest shooting complexes. Guests will experience rifle shooting with 10 bullets per person (entrance included). The center provides professional equipment and safe indoor and outdoor ranges for an exciting and controlled shooting experience.
 18:00 – Dinner Break (if included)
19:00 –Drop to Hotel
Overnight in Baku</t>
  </si>
  <si>
    <t>Panaromic City Tour + Indoor Go Karting</t>
  </si>
  <si>
    <t>10:00 – Leaving Hotel to Panoramic City Tour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13:00 –Lunch Break
 14:00 – Indoor Karting Experience
 - Enjoy a safe indoor racing experience at Deniz Karting:
 • 2-story, 460 m long racing track for adults
 • 101 m long track for children
 - Experience racing regardless of weather and enjoy unique views of Baku while racing.
 18:00 – Dinner Break (if included)
 19:00 –Drop to Hotel
 Overnight in Baku</t>
  </si>
  <si>
    <t>Panaromic City Tour + Outdoor Go Karting</t>
  </si>
  <si>
    <t>10:00 – Leaving Hotel to Panoramic City Tour 
- Panoramic City Tour starts with panoramic full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13:00 –Lunch Break
14:00 – Outdoor Go Karting Experience
 - Guests continue with an outdoor karting session where they can enjoy a real racing atmosphere. The open-air track provides a thrilling driving experience with professional timing, safety equipment, and a racing circuit designed for competitive laps and fun.
18:00 – Dinner Break (if included)
19:00 –Drop to Hotel
Overnight in Baku</t>
  </si>
  <si>
    <t>Heyder Aliyev Centre + Airport Drop</t>
  </si>
  <si>
    <t>10:00 – Leaving Hotel to Heydar Aliyev Center 
- Visit to Heydar Aliyev Center &amp; “I LOVE BAKU” sign Photostop.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 Drop off at GYD Airport based on flight time.</t>
  </si>
  <si>
    <t>Heyder Aliyev Centre + Shopping Drop</t>
  </si>
  <si>
    <t>10:00 – Leaving Hotel to Heydar Aliyev Center 
- Visit to Heydar Aliyev Center &amp; “I LOVE BAKU” sign Photostop.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13:00 – Lunch Break
 14:00 – Shopping Tour
 - Guests are free to choose from the following malls:
• Park Boulevard Mall
 • Port Baku Mall
 • Ganjlik Mall
 • Nargiz Mall
 • Deniz Mall
 • 28 Mall
 • Green Bazaar
 18:00 – Dinner Break (if included)
 19:00 –Drop to Hotel
 Overnight in Baku</t>
  </si>
  <si>
    <t>Heyder Aliyev Centre + Hotel Drop</t>
  </si>
  <si>
    <t>10:00 – Leaving Hotel to Heydar Aliyev Center 
- Visit to Heydar Aliyev Center &amp; “I LOVE BAKU” sign Photostop.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13:00 – Lunch Break
 18:00 – Dinner Break (if included)
 19:00 –Drop to Hotel
 Overnight in Baku</t>
  </si>
  <si>
    <t>Heyder Aliyev Centre + Fountain Square walking Tour</t>
  </si>
  <si>
    <t>10:00 – Leaving Hotel to Heydar Aliyev Center 
- Visit to Heydar Aliyev Center &amp; “I LOVE BAKU” sign Photostop.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13:00 – Lunch Break
 14:00 – Fountain Square Walking Tour
 - Walking tour begins in the heart of Fountain Square, where you explore its lively streets filled with elegant façades, boutique shops, cozy cafés, and charming pedestrian zones. The area offers a blend of modern city life and historical character, making it ideal for relaxed strolling, photography, and people-watching. You experience the warm atmosphere of central Baku while walking through some of its most beloved urban spaces.
 18:00 – Dinner Break (if included)
 19:00 –Drop to Hotel
 Overnight in Baku</t>
  </si>
  <si>
    <t>Heyder Aliyev Centre + Shooting range</t>
  </si>
  <si>
    <t>10:00 – Leaving Hotel to Heydar Aliyev Center 
- Visit to Heydar Aliyev Center &amp; “I LOVE BAKU” sign Photostop.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13:00 – Lunch Break
 14:00 – Shooting Range Tour
 - At the shooting range, you enjoy a safe and exciting experience guided by trained professionals. Depending on the facility’s offerings, you may try various firearms under supervision, learning proper handling and technique. Whether you are a beginner or have prior experience, the session provides an enjoyable and adrenaline-filled activity in a controlled environment.
 18:00 – Dinner Break (if included)
 19:00 –Drop to Hotel
 Overnight in Baku</t>
  </si>
  <si>
    <t>Heyder Aliyev Centre + Indoor Go Karting</t>
  </si>
  <si>
    <t>10:00 – Leaving Hotel to Heydar Aliyev Center 
- Visit to Heydar Aliyev Center &amp; “I LOVE BAKU” sign Photostop.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13:00 – Lunch Break
 14:00 – Indoor Go Karting Experience
 - Enjoy an exciting indoor karting session at Deniz Karting, offering a realistic and safe racing experience regardless of the weather. The venue features a two-level 460-meter racing track for adults and a 101-meter children’s track, providing an adrenaline-filled activity with unique views over Baku.
 18:00 – Dinner Break (if included)
 19:00 –Drop to Hotel
 Overnight in Baku</t>
  </si>
  <si>
    <t>Heyder Aliyev Centre + Outdoor Go Karting</t>
  </si>
  <si>
    <t>10:00 – Leaving Hotel to Heydar Aliyev Center 
- Visit to Heydar Aliyev Center &amp; “I LOVE BAKU” sign Photostop.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13:00 – Lunch Break
 14:00 – Outdoor Go Karting Experience
 - Enjoy an exciting outdoor karting session at a professional open-air circuit. Guests will experience real racing dynamics with fresh air, wide racing tracks and open-view surroundings. Suitable for both experienced racers and beginners, it offers an unforgettable adrenaline-filled adventure.
 18:00 – Dinner Break (if included)
 19:00 –Drop to Hotel
 Overnight in Baku</t>
  </si>
  <si>
    <t>Shopping Tour + Hotel Drop</t>
  </si>
  <si>
    <t>10:00 – Leaving Hotel to Shopping Mall
 11:00 Shopping Tour starts: 
- Guests are free to choose any of below Shopping Malls:
 • Park Boulevard Mall
• Port Baku Mall
 • Ganjlik Mall
 • Nargiz Mall
 • Deniz Mall
 • 28th Mall
 • Green Bazaar
 13:00 – Lunch Break
 18:00 – Dinner Break (if included)
 19:00 –Drop to Hotel
 Overnight in Baku</t>
  </si>
  <si>
    <t>Shopping Tour + Fountain Square walking Tour</t>
  </si>
  <si>
    <t>10:00 – Leaving Hotel to Shopping Mall
 10:30 Shopping Tour starts: 
- Guests are free to choose any of below Shopping Malls:
 • Park Boulevard Mall
• Port Baku Mall
 • Ganjlik Mall
 • Nargiz Mall
 • Deniz Mall
 • 28th Mall
 • Green Bazaar
 13:00 – Lunch Break
 14:00 – Fountain Square Walking Tour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18:00 – Dinner Break (if included)
 19:00 –Drop to Hotel
 Overnight in Baku</t>
  </si>
  <si>
    <t>Shopping Tour + Shooting range</t>
  </si>
  <si>
    <t>10:00 – Leaving Hotel to Shopping Mall
 11:00 Shopping Tour starts: Guests are free to choose any of below Shopping Malls:
• Park Boulevard Mall
 • Port Baku Mall
 • Ganjlik Mall
 • Nargiz Mall
 • Deniz Mall
 • 28th Mall
 • Green Bazaar
 13:00 – Lunch Break
 14:00 – Shooting Range Experience
 - Guests visit Baku Shooting Center, one of Europe’s largest and most modern shooting facilities. Participants can enjoy rifle shooting with 10 bullets per person in a safe and controlled environment. The center offers professional equipment, indoor and outdoor ranges, and the opportunity to practice precision shooting.
 18:00 – Dinner Break (if included)
 19:00 –Drop to Hotel
 Overnight in Baku</t>
  </si>
  <si>
    <t>Shopping Tour + Indoor Go Karting</t>
  </si>
  <si>
    <t>10:00 – Leaving Hotel to Shopping Mall
 10:30 Shopping Tour starts: Guests are free to choose any of below Shopping Malls:
• Park Boulevard Mall
 • Port Baku Mall
 • Ganjlik Mall
 • Nargiz Mall
 • Deniz Mall
 • 28th Mall
 • Green Bazaar
 13:00 – Lunch Break
 14:00 – Indoor Go Karting Experience
 - Guests enjoy an indoor karting session at Deniz Karting, featuring a 2-story, 460-meter track for adults and a 101-meter track for children. The indoor setup provides a safe, weather-independent racing experience while offering an exciting and adrenaline-filled activity for all ages.
 18:00 – Dinner Break (if included)
 19:00 –Drop to Hotel
 Overnight in Baku</t>
  </si>
  <si>
    <t>Shopping Tour + Outdoor Go Karting</t>
  </si>
  <si>
    <t>10:00 – Leaving Hotel to Shopping Mall
 10:30 Shopping Tour starts: Guests are free to choose any of below Shopping Malls:
 • Park Boulevard Mall
 • Port Baku Mall
 • Ganjlik Mall
 • Nargiz Mall
 • Deniz Mall
 • 28th Mall
 • Green Bazaar
 13:00 – Lunch Break
 14:00 – Outdoor Go Karting Experience
 - Guests enjoy an outdoor karting session at a professional open-air circuit. The activity provides real racing dynamics with fresh air, wide racing tracks, and scenic surroundings. Suitable for both beginners and experienced racers, this session offers an unforgettable adrenaline-filled adventure.
 18:00 – Dinner Break (if included)
 19:00 –Drop to Hotel
 Overnight in Baku</t>
  </si>
  <si>
    <t>Fountain Square Walking Tour + Shooting Range</t>
  </si>
  <si>
    <t>10:00 – Leaving Hotel to Fountain Square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13:00 – Lunch Break
 14:00 – Shooting Range Experience
 - Guests visit Baku Shooting Center, one of Europe’s largest and most modern shooting facilities. Participants can enjoy rifle shooting with 10 bullets per person in a safe and controlled environment. The center offers professional equipment, indoor and outdoor ranges, and the opportunity to practice precision shooting.
 18:00 – Dinner Break (if included)
 19:00 –Drop to Hotel
 Overnight in Baku</t>
  </si>
  <si>
    <t>Fountain Square Walking Tour + Indoor Go Karting</t>
  </si>
  <si>
    <t>10:00 – Leaving Hotel to Fountain Square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13:00 – Lunch Break
 14:00 – Indoor Go Karting Experience
 - Guests enjoy an indoor karting session at Deniz Karting, featuring a 2-story, 460-meter track for adults and a 101-meter track for children. The indoor setup provides a safe, weather-independent racing experience while offering an exciting and adrenaline-filled activity for all ages.
 18:00 – Dinner Break (if included)
 19:00 –Drop to Hotel
 Overnight in Baku</t>
  </si>
  <si>
    <t>Fountain Square Walking Tour + Outdoor Go Karting</t>
  </si>
  <si>
    <t>10:00 – Leaving Hotel to Fountain Square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13:00 – Lunch Break
 14:00 – Outdoor Go Karting Experience
 - The activity provides real racing dynamics with fresh air, wide racing tracks, and scenic surroundings. Suitable for both beginners and experienced racers, this session offers an unforgettable adrenaline-filled adventure.
 18:00 – Dinner Break (if included)
 19:00 –Drop to Hotel
 Overnight in Baku</t>
  </si>
  <si>
    <t>Shooting Range + Indoor Go Karting</t>
  </si>
  <si>
    <t>10:00 – Leaving Hotel to Baku Shooting Center
 - Baku Shooting Center is one of Europe’s largest and most modern shooting facilities. Participants can enjoy rifle shooting with 10 bullets per person in a safe and controlled environment. The center offers professional equipment, indoor and outdoor ranges, and the opportunity to practice precision shooting.
 13:00 – Lunch Break
 14:00 – Indoor Go Karting Experience
 - Guests enjoy an indoor karting session at Deniz Karting, featuring a 2-story, 460-meter track for adults and a 101-meter track for children. The indoor setup provides a safe, weather-independent racing experience while offering an exciting and adrenaline-filled activity for all ages.
 18:00 – Dinner Break (if included)
19:00 –Drop to Hotel
 Overnight in Baku</t>
  </si>
  <si>
    <t>Shooting Range + Outdoor Go Karting</t>
  </si>
  <si>
    <t>10:00 – Leaving Hotel to Baku Shooting Center
 - Baku Shooting Center is one of Europe’s largest and most modern shooting facilities. Participants can enjoy rifle shooting with 10 bullets per person in a safe and controlled environment. The center offers professional equipment, indoor and outdoor ranges, and the opportunity to practice precision shooting.
 13:00 – Lunch Break
 14:00 – Outdoor Go Karting Experience
 - Guests enjoy an outdoor karting session at a professional open-air circuit. The activity provides real racing dynamics with fresh air, wide racing tracks, and scenic surroundings. Suitable for both beginners and experienced racers, this session offers an unforgettable adrenaline-filled adventure.
 18:00 – Dinner Break (if included)
 19:00 –Drop to Hotel
 Overnight in Baku</t>
  </si>
  <si>
    <t>Indoor Go Karting + Outdoor Go Karting</t>
  </si>
  <si>
    <t>10:00 – Leaving Hotel to Deniz Mall 
 - Guests enjoy an indoor karting session at Deniz Karting, featuring a 2-story, 460-meter track for adults and a 101-meter track for children. The indoor setup provides a safe, weather-independent racing experience while offering an exciting and adrenaline-filled activity for all ages.
 13:00 – Lunch Break
 14:00 – Outdoor Go Karting Experience
 - Guests enjoy an outdoor karting session at a professional open-air circuit. The activity provides real racing dynamics with fresh air, wide racing tracks, and scenic surroundings. Suitable for both beginners and experienced racers, this session offers an unforgettable adrenaline-filled adventure.
18:00 – Dinner Break (if included)
 19:00 –Drop to Hotel
 Overnight in Baku</t>
  </si>
  <si>
    <t>Fountain Square Walking Tour + Airport Drop</t>
  </si>
  <si>
    <t>10:00 – Leaving Hotel to Fountain Square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Drop off at GYD Airport based on flight time.</t>
  </si>
  <si>
    <t>Fountain Square Walking Tour + Hotel Drop</t>
  </si>
  <si>
    <t>10:00 – Leaving Hotel to Fountain Square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13:00 – Lunch Break
 18:00 – Dinner Break (if included)
 19:00 –Drop to Hotel
 Overnight in Baku</t>
  </si>
  <si>
    <t>Shopping Tour + Airport Drop</t>
  </si>
  <si>
    <t>10:00 – Leaving Hotel to Shopping Mall
 11:00 Shopping Tour starts. Guests are free to choose any of below Shopping Malls:
 • Park Boulevard Mall
 • Port Baku Mall
 • Ganjlik Mall
 • Nargiz Mall
 • Deniz Mall
 • 28th Mall
 • Green Bazaar
- Drop off at GYD Airport based on flight time.</t>
  </si>
  <si>
    <t>Indoor Go Karting + Airport Drop</t>
  </si>
  <si>
    <t>10:00 – Leaving Hotel to Deniz Mall for Indoor Go Karting Experience.
 - Guests enjoy an indoor karting session at Deniz Karting, featuring a 2-story, 460-meter track for adults and a 101-meter track for children. The indoor setup provides a safe, weather-independent racing experience while offering an exciting and adrenaline-filled activity for all ages.
 - Drop off at GYD Airport based on flight time.</t>
  </si>
  <si>
    <t>Indoor Go Karting + Hotel Drop</t>
  </si>
  <si>
    <t>10:00 – Leaving Hotel to Deniz Mall for Indoor Go Karting Experience.
 - Guests enjoy an indoor karting session at Deniz Karting, featuring a 2-story, 460-meter track for adults and a 101-meter track for children. The indoor setup provides a safe, weather-independent racing experience while offering an exciting and adrenaline-filled activity for all ages.
 13:00 – Lunch Break
14:00 –Drop to Hotel
18:00 – Dinner Break Pickup (if included)
19:00 –Drop to Hotel
 Overnight in Baku</t>
  </si>
  <si>
    <t>Outdoor Go Karting + Airport Drop</t>
  </si>
  <si>
    <t>10:00 –Leaving Hotel to Outdoor Go Karting Experience
 - Guests enjoy an outdoor karting session at a professional open-air circuit. The venue provides real racing dynamics with wide tracks, fresh air, and scenic surroundings. Safety gear and guidance are provided by trained staff, making it suitable for beginners and experienced drivers alike. This activity offers an exciting, adrenaline-filled experience with panoramic views of the surroundings.
 - Drop off at GYD Airport based on flight time.</t>
  </si>
  <si>
    <t>Outdoor Go Karting + Hotel Drop</t>
  </si>
  <si>
    <t>10:00 –Leaving Hotel to Outdoor Go Karting Experience
 - Guests enjoy an outdoor karting session at a professional open-air circuit. The venue provides real racing dynamics with wide tracks, fresh air, and scenic surroundings. Safety gear and guidance are provided by trained staff, making it suitable for beginners and experienced drivers alike. This activity offers an exciting, adrenaline-filled experience with panoramic views of the surroundings.
 13:00 – Lunch Break
14:00 –Drop to Hotel
18:00 – Dinner Break Pickup (if included)
 19:00 –Drop to Hotel
 Overnight in Baku</t>
  </si>
  <si>
    <t>Hotel + Panaromic City Tour</t>
  </si>
  <si>
    <t>Pick-up from GYD Airport based on flight time. 
 15:00 Check-in at the Hotel 
 17:00 Evening City Tour starts with panoramic full evening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18:00 Dinner Break (if included)
 19:00 Drop to the Hotel
 Overnight in Baku</t>
  </si>
  <si>
    <t>Hotel + Panaromic City Tour + Boulevard Tour</t>
  </si>
  <si>
    <t>Pick-up from GYD Airport based on flight time. 
15:00 Check-in at the Hotel 
 17:00 Evening City Tour starts with panoramic full evening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18:00 Boulevard Tour starts with walking along Baku Boulevard, including:
 - Carpet Museum
 - Mini Venice of Baku
 - Deniz Mall
 - Ferris Wheel
 - Crystal Hall
 19:00 – Dinner Break (if included)
 20:00 – Drop to the Hotel
 Overnight in Baku</t>
  </si>
  <si>
    <t>Airport Drop</t>
  </si>
  <si>
    <t>12:00 Check-out at the Hotel
14:00 Drop off at GYD Airport based on flight time.</t>
  </si>
  <si>
    <t>Lunch + Airport Drop</t>
  </si>
  <si>
    <t>12:00 Check-out at the Hotel
13:00 Lunch Break
15:00 Drop off at GYD Airport based on flight time.</t>
  </si>
  <si>
    <t>Region</t>
  </si>
  <si>
    <t>Baku City</t>
  </si>
  <si>
    <t>12:00 Check-out at the Hotel
13:00 Lunch Break
15:00 Return back from respective Region to Baku City.
18:00 Dinner Break (If included)
19:00 Drop to Hotel
Overnight in Baku</t>
  </si>
  <si>
    <t>Extra Stay in Region</t>
  </si>
  <si>
    <t>- 1 Night Extra Stay in respective mentioned Region.
 - During that period driver &amp; guide accommodation &amp; meals are included.</t>
  </si>
  <si>
    <t>Hotel in Region</t>
  </si>
  <si>
    <t>Extra Sightseeing in Region</t>
  </si>
  <si>
    <t>- During this period, the vehicle will be at the guests’ disposal from 12:30 pm should they wish to go for lunch, dinner, or to complete any pending sightseeing included in the itinerary within the region.
13:00 Lunch Break
 18:00 Dinner Break
 19:00 Drop to Hotel 
 Overnight in Region</t>
  </si>
  <si>
    <t>1 Day Full Baku City Tour - Highlights</t>
  </si>
  <si>
    <t>10:00 – Leaving Hotel to Heydar Aliyev Center &amp; “I LOVE BAKU” Sign Photostop
 -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12:00 Baku boulevard tour starts along the Baku Boulevard followed by: 
 -Carpet Museum 
 -Mini Venice of Baku
 -Deniz Mall 
 -Ferries Wheel 
 -Carpet Museums
 -Cristal Hall
 13:00 - Lunch Break
 14:00 -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15:00 Fountain Square walking tour
- The square is a public gathering place, especially after business hours and during the weekend. It is an attractive tourist destination with many boutiques, restaurants, shops, hotels and passage. This is one of the most crowd and lively places in the city.
 18:00 – Dinner Break (if included)
19:00 –Drop to Hotel
Overnight in Baku</t>
  </si>
  <si>
    <t xml:space="preserve">1 Day Full Baku City Tour - Classic </t>
  </si>
  <si>
    <t>10:00 – Baku Boulevard tour starts along the Seaside Photostop followed by: 
 - Carpet Museum 
 - Mini Venice of Baku
 - Deniz Mall 
 - Ferries Wheel 
 - Carpet Museums
 - Cristal Hall
 13:00 - Lunch Break
 14:00 -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15:00 Fountain Square walking tour 
 - The square is a public gathering place, especially after business hours and during the weekend. It is an attractive tourist destination with many boutiques,restaurants, shops, hotels and passage. This is one of the most crowd and lively places in the city.
 18:00 – Dinner Break (if included)
19:00 –Drop to Hotel
 Overnight in Baku</t>
  </si>
  <si>
    <t>1 Day Vehicle on Disposal basis (Baku to Region) (10 hrs)</t>
  </si>
  <si>
    <t>- Full day disposal service includes one round trip only inside Region (NO outskirts) between 10:00 and 19:00.
- Any extension beyond 19:00 is subject to an additional fee of USD 20 per hour. Overnight in Region</t>
  </si>
  <si>
    <t>1 Day Vehicle on Disposal basis (Baku) (10 hrs)</t>
  </si>
  <si>
    <t>- Full day disposal service includes one round trip only inside Baku (NO outskirts) between 10:00 and 19:00. 
 - Any extension beyond 19:00 is subject to an additional fee of USD 20 per hour.
 Overnight in Baku</t>
  </si>
  <si>
    <t xml:space="preserve">Shamakhi tour +  Gabala tour </t>
  </si>
  <si>
    <t>Day trip</t>
  </si>
  <si>
    <t>09:00 – Leaving Baku to Shamakhi (1 way x 2.5 hrs)
 11:30 – Arrive in Shamakhi
 - Visit to Shamakhi Juma Mosque - one of the oldest mosques in the Caucasus, originally built in the 8th century and restored over time. A significant example of Islamic architecture.
 - Yeddi Gumbaz Mausoleum (Photo Stop) - Explore the historical mausoleum complex with panoramic views and photo opportunities.
 12:30 – Lunch Break
 13:30 – Leaving Shamakhi to Gabala (1 way takes 2 hours)
 15:30 – Arrive in Gabala
 Explore Gabala, a picturesque region surrounded by mountains. Highlights include:
 - Tufandag Mountains – Scenic mountain range offering breathtaking views.
 - Nohur Lake – Surrounded by forests and mountains, ideal for photography and short nature walks.
 - Gabala City Center – Leisure time for walking or exploring local shops and attractions.
 17:00 – Leaving Gabala to Baku
 20:00 – Dinner Break (if included)
 21:00 –Drop to Hotel
 Overnight in Baku</t>
  </si>
  <si>
    <t>09:00 – Leaving Baku to Shamakhi (1 way x 2.5 hrs)
 11:30 – Arrive in Shamakhi
 - Visit to Shamakhi Juma Mosque - one of the oldest mosques in the Caucasus, originally built in the 8th century and restored over time. A significant example of Islamic architecture.
 - Yeddi Gumbaz Mausoleum (Photo Stop) - Explore the historical mausoleum complex with panoramic views and photo opportunities.
 12:30 – Lunch Break
 13:30 – Leaving Shamakhi to Gabala (1 way takes 2 hours)
 15:30 – Arrive in Gabala
Explore Gabala, a picturesque region surrounded by mountains. Highlights include:
 - Tufandag Mountains – Scenic mountain range offering breathtaking views.
 - Nohur Lake – Surrounded by forests and mountains, ideal for photography and short nature walks.
 - Gabala City Center – Leisure time for walking or exploring local shops and attractions.
 18:00 – Dinner Break (if included)
 19:00 –Drop to Hotel
 Overnight in Gabala</t>
  </si>
  <si>
    <t>Airport Pick up</t>
  </si>
  <si>
    <t>Shahdag</t>
  </si>
  <si>
    <t>Pick-up from GYD Airport and leaving Baku to Shahdag ( 1 way x 4 hrs)
 14:00 – Arrive in Shahdag
 12:00 – Visiting Qecresh Forest (photostop)
 - Qechresh Forest, also known as Gachresh Forest, is one of the largest forests in Azerbaijan, located near the town of Quba. Renowned for its dense foliage and majestic landscape, it features a rich biodiversity and is a habitat for various plant species and wildlife. The forest's high altitude and clean, fresh air make it a perfect spot for those looking for outdoor adventures or simply to relax .
 12:30 – Lunch Break 
 13:30 – Reaching to Shahdag and visit Shahdag Mountain Resort
 - Shahdag is the highest part of the side ridge in the territory of the Republic of Azerbaijan. It is separated from the Kyzylgaya plateau by the Gusar river valley. Composed of sediments of the Jurassic and Cretaceous systems. Its height is up to 4243 meters (Shahdag peak). There are alpine and subalpine meadows, glaciers with an area of more than 1 square km.
  - Discover the wonders of Shahdag, a land of ancient glaciers, majestic valleys, and stunning mountain lakes! Designed with avid outdoor enthusiasts in mind, Shahdag Mountain Resort offers an array of thrilling activities throughout the year. Picture yourself zooming down the slopes, feeling the crisp mountain air on your face as you carve your way through powdery snow. And for those seeking an adrenaline rush of a different kind, don't miss the Shahdag Coaster, an exhilarating roller coaster that takes you on a wild ride through the breathtaking mountain scenery.
 15:00 - Check-in to the Hotel 
 18:00 - Dinner Break (if included)
 19:00 – Drop to Hotel
 Overnight in Shahdag</t>
  </si>
  <si>
    <t>Airport drop</t>
  </si>
  <si>
    <t>09:00 am – Leaving Shahdag to GYD Airport.
- Drop off at GYD Airport based on flight time.</t>
  </si>
  <si>
    <t>- Pick-up from GYD Airport and leaving Baku to Gabala ( 1 way x 5 hrs)
13:00 – Reaching to Gabala
 14:00 – Lunch break
 15:00 – Check-in to the Hotel
  16:00 - Visiting Tufandagh Mountains Resort 
 - Tufandagh is a mountain peak of the Greater Caucasus range, located in the Qusar District of Azerbaijan. With an elevation of 4,191 metres (13,750 ft) above sea level, it third highest mountain in Azerbaijan. Visit to Nohur lake, guests enjoy with Panoramic Nature view (Located about 5 km. east of the Gabala city, the lake is surrounded by the forests and high mountains called Yumru, Goydag and Gulluburun. The lake covers 240 ha in total and has the maximum depth of 24 meters. The Nohur lake has very clear water thanks to the fresh water sources spilt into the lake. Apart from the small seasonal water supply coming from the mountains of Caucasus, Damiraparan and Vandam rivers also flow to the lake.
 18:00 – Dinner Break (if included)
 19:00 – Drop to the Hotel
 Overnight in Gabala</t>
  </si>
  <si>
    <t>09:00 am – Leaving Gabala to GYD Airport.
- Drop off at GYD Airport based on flight time.</t>
  </si>
  <si>
    <t xml:space="preserve"> Panaromic city tour + Shopping + Airport Drop</t>
  </si>
  <si>
    <t>10:00 – Leaving Hotel Panaromic city tour which starts with panoramic full evening city view of Baku followed by:
 -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 Flame Towers -The city's tallest building. The height of 182 m. Flame Towers - consisting of three high-rise buildings in the complex.
 13:00 – Lunch Break
14:00 – Shopping Tour - Guests are free to choose any of below Shopping Malls: 
 • Park Boulevard Mall
 • Port Baku Mall 
 • Ganjlik Mall
 • Nargiz Mall
 • Deniz Mall
 • 28th Mall
 • Crescent Mall
 - Drop off at GYD Airport based on flight time</t>
  </si>
  <si>
    <t xml:space="preserve">Shamakhi </t>
  </si>
  <si>
    <t>Baku Airport</t>
  </si>
  <si>
    <t xml:space="preserve">Private Transfer </t>
  </si>
  <si>
    <t>- Leaving Shamakhi to GYD Airport.
- Drop off at GYD Airport based on flight time.</t>
  </si>
  <si>
    <t xml:space="preserve">Sheki </t>
  </si>
  <si>
    <t xml:space="preserve">Laqodexi </t>
  </si>
  <si>
    <t>- Leaving Sheki to Laqodexi 
- Drop off at Laqodexi (border area) based on required timing.</t>
  </si>
  <si>
    <t xml:space="preserve">Gobustan &amp; Sheki </t>
  </si>
  <si>
    <t>09:00 – Leaving Baku to Gobustan (1 way x 45 mins)
10:00 – Reaching to Gobustan
Visit Gobustan National Park, a UNESCO World Heritage site known for its ancient petroglyphs, rock formations, and archaeological heritage dating back more than 40,000 years. The open-air museum offers insights into prehistoric human life, hunting traditions, and early settlements. After exploring the site, continue to the nearby Mud Volcanoes—one of the largest mud volcano fields in the world. The unique grey, lunar-like landscape and constantly bubbling mud pools create an unforgettable natural experience and an excellent spot for photos.
11:00 – Leaving Gobustan to Sheki (1 way x 4.5 hrs)
13:30 – Lunch Break
15:00 – Check-in to the Hotel                                                                                                                                                                                                                                                                                         
16:00 -Visit Church of Kish
- Kish is one of the oldest villages in present-day Azerbaijan and is most known for the ancient Church of Saint Elisha from the period of Caucasian Albania. The current structure was built between the 10th–12th centuries. According to scholars, it stands on the original site where St. Elisha founded the first Christian church in the region, making it one of the earliest spiritual centers in the Caucasus.
17:00 – Visit Sheki Fortress
- Sheki Fortress was constructed to protect the historic center, which is now recognized as a UNESCO World Heritage Site. The original fortification walls once reached 8 meters in height and 2 meters in thickness, with defensive towers and arched gates. Although parts were destroyed, several sections have been preserved and restored.
17:00 – Explore Sheki Karavansaray
- This historic caravanserai served as a secure lodging place for merchants traveling along the Silk Road with their animals and trade goods. Today, it stands as one of the most iconic and culturally significant architectural landmarks in Sheki.
18:00 Traditional Sheki Halva Tasting
Experience Sheki’s famous halva — one of the region’s most well-known traditional sweets. It remains a highlight of local cuisine and a must-try specialty for visitors.
18:30 – Dinner break (if included)
19:30 – Drop at the Hotel
Overnight in Sheki</t>
  </si>
  <si>
    <t xml:space="preserve">08:00 – Depart from Baku to Sheki (1 way x 5,5 hrs)
 12:30 – Lunch Break
14:00 - Reaching to Sheki, visiting following places:  
- Church of Kish - Kish is one of the oldest villages in present-day Azerbaijan and is most known for the ancient Church of Saint Elisha from the period of Caucasian Albania. The current structure was built between the 10th–12th centuries. According to scholars, it stands on the original site where St. Elisha founded the first Christian church in the region, making it one of the earliest spiritual centers in the Caucasus.
- Visit Sheki Fortress - Sheki Fortress was constructed to protect the historic center, which is now recognized as a UNESCO World Heritage Site. The original fortification walls once reached 8 meters in height and 2 meters in thickness, with defensive towers and arched gates. Although parts were destroyed, several sections have been preserved and restored.
- Explore Sheki Karavansaray - This historic caravanserai served as a secure lodging place for merchants traveling along the Silk Road with their animals and trade goods. Today, it stands as one of the most iconic and culturally significant architectural landmarks in Sheki.
- Traditional Sheki Halva Tasting - Experience Sheki’s famous halva — one of the region’s most well-known traditional sweets. It remains a highlight of local cuisine and a must-try specialty for visitors.
 18:00 – Leaving Sheki to Baku (1 way x 5,5 hrs)
19:30 Dinner break (if included)
23:00 – Drop at the Hotel
Overnight in Baku </t>
  </si>
  <si>
    <t>Baku city tour - Half Day from 10:00am - 14:00pm</t>
  </si>
  <si>
    <t>10:00 – Leaving Hotel to Boulevard tour
 - Baku boulevard tour starts along the Baku Boulevard followed by: 
-Carpet Museum 
 -Mini Venice of Baku
 -Deniz Mall 
 -Ferries Wheel 
 -Carpet Museums
 -Cristal Hall
 14:00 -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13:00 - Lunch Break
 18:00 – Dinner Break (if included)
 19:00 –Drop to Hotel
 Overnight in Baku</t>
  </si>
  <si>
    <t>Baku city tour - Half Day from 14:00pm - 19:00pm</t>
  </si>
  <si>
    <t>14:00 – Leaving Hotel to Boulevard tour
 Baku boulevard tour starts along the Seaside (Photostop) followed by: 
 - Carpet Museum 
 - Mini Venice of Baku
 - Deniz Mall 
 - Ferries Wheel 
 - Carpet Museums
 - Cristal Hall
15:30 - Old City tour starts from Shamakhi Gates followed by below places (Photo stop):
 - Shamakhi Gates – The historic entrance to the Old City, showcasing iconic stone architecture.
 - Sculptures of Azim Azimzadeh – Artistic monuments honoring Azerbaijan’s famed satirical painter and graphic artist.
 - Caravanserai of Bukhara – A restored medieval inn once used by Silk Road traders for rest and trade.
 - Caravanserai of Multani – A traditional guesthouse built for merchants from Multan, reflecting oriental caravan culture.
 - Maiden’s Tower – Baku’s mysterious UNESCO-listed tower offering panoramic views of the Old City.
 - Bazar Square – A lively historic square once serving as the commercial heart of Icherisheher.
 - Miniature Books’ Museum – A unique museum displaying one of the world’s largest collections of tiny books.
 - Shirvanshahs’ Palace – A majestic 15th-century royal complex showcasing medieval Azerbaijani architecture.
 18:00 – Dinner Break (if included)
 19:00 –Drop to Hotel
 Overnight in Baku</t>
  </si>
  <si>
    <t>27 Dec 2025 - 31 Dec 2025</t>
  </si>
  <si>
    <t>Half day Baku city tour (10:00 - 14:00)</t>
  </si>
  <si>
    <t>Half day Baku city tour (14:00 - 19:00)</t>
  </si>
  <si>
    <t>1 Jan 2025 - 31 Dec 2025</t>
  </si>
  <si>
    <t>Mercedes Coach - 45 Seaters</t>
  </si>
  <si>
    <t xml:space="preserve">Airport </t>
  </si>
  <si>
    <t xml:space="preserve"> Hotel</t>
  </si>
  <si>
    <t>Airport Transfer 1 way</t>
  </si>
  <si>
    <t xml:space="preserve">Pick-up from Airport - Drop to Hotel </t>
  </si>
  <si>
    <t xml:space="preserve"> Hotel - Airport</t>
  </si>
  <si>
    <t>Airport Transfer 2 way</t>
  </si>
  <si>
    <t>Airport Transfers - 2 Ways</t>
  </si>
  <si>
    <t>Baku to Shamakhi to Baku (Same Day)</t>
  </si>
  <si>
    <t xml:space="preserve">Baku Airport </t>
  </si>
  <si>
    <t>PrivateTransfer</t>
  </si>
  <si>
    <t>Shamakhi to Baku Airport</t>
  </si>
  <si>
    <t>Shamakhi-Baku City Tour</t>
  </si>
  <si>
    <t>Baku Hotel to Shamakhi to Baku City Tour to Baku Hotel</t>
  </si>
  <si>
    <t>Baku to Shamakhi to Baku (1 Night Stay in Shamakhi)</t>
  </si>
  <si>
    <t>Baku to Guba to Baku (Same Day)</t>
  </si>
  <si>
    <t>Baku to Guba to Baku (1 Night Stay in Guba)</t>
  </si>
  <si>
    <t>Baku to Shahdag to Baku (Same Day)</t>
  </si>
  <si>
    <t>Baku Hotel to Shahdag (1 Night stay) to Baku Hotel</t>
  </si>
  <si>
    <t xml:space="preserve">Shahdagh - Candy Cane Mountains </t>
  </si>
  <si>
    <t>Baku Hotel to Shahdag + Candy Cane Mountain Visit to Baku Hotel</t>
  </si>
  <si>
    <t xml:space="preserve">Shahdagh - Baku city Tour </t>
  </si>
  <si>
    <t>Baku to Shahdag to Baky City tour to Baku Hotel</t>
  </si>
  <si>
    <t>Baku to Gabala to Baku (Same Day)</t>
  </si>
  <si>
    <t>Baku Hotel to Gabala (1 Night stay) to Baku Hotel</t>
  </si>
  <si>
    <t>İsmayıllı</t>
  </si>
  <si>
    <t>Baku to İsmayıllı to Baku (Same Day)</t>
  </si>
  <si>
    <t>Baku Hotel to İsmayıllı (1 Night stay) to Baku Hotel</t>
  </si>
  <si>
    <t>Baku to Lahij to Baku (Same Day)</t>
  </si>
  <si>
    <t>Baku Hotel to Lahij (1 Night stay) to Baku Hotel</t>
  </si>
  <si>
    <t>Baku to Lenkaran to Baku (Same Day)</t>
  </si>
  <si>
    <t>Baku Hotel to Lenkaran (1 Night stay) to Baku Hotel</t>
  </si>
  <si>
    <t>Baku to Lerik to Baku (Same Day)</t>
  </si>
  <si>
    <t>Baku Hotel to Lerik (1 Night stay) to Baku Hotel</t>
  </si>
  <si>
    <t>Baku to Astara to Baku (Same Day)</t>
  </si>
  <si>
    <t>Baku Hotel to Astara (1 Night stay) to Baku Hotel</t>
  </si>
  <si>
    <t>Baku to Masalli to Baku (Same Day)</t>
  </si>
  <si>
    <t>Baku Hotel to Masalli (1 Night stay) to Baku Hotel</t>
  </si>
  <si>
    <t>Sheki &amp; Gobustan</t>
  </si>
  <si>
    <t>Baku to Sheki to Gobusthan to Baku (Same Day)</t>
  </si>
  <si>
    <t>Baku to Sheki to Baku (Same Day)</t>
  </si>
  <si>
    <t>Baku Hotel to Sheki (1 Night stay) to Baku Hotel</t>
  </si>
  <si>
    <t>Baku to Ganja to Baku (Same Day)</t>
  </si>
  <si>
    <t>Baku Hotel to Ganja (1 Night stay) to Baku Hotel</t>
  </si>
  <si>
    <t>Baku to Gakh to Baku (Same Day)</t>
  </si>
  <si>
    <t>Baku Hotel to Gakh (1 Night stay) to Baku Hotel</t>
  </si>
  <si>
    <t>Baku to Zagatala to Baku (Same Day)</t>
  </si>
  <si>
    <t>Baku Hotel to Zagatala (1 Night stay) to Baku Hotel</t>
  </si>
  <si>
    <t>Gabala to Ismayilli to Gabala (Same Day)</t>
  </si>
  <si>
    <t>Gabala to Sheki to Gabala (Same Day)</t>
  </si>
  <si>
    <t>Besbarmaq Mountains (top)</t>
  </si>
  <si>
    <t>Baku to Besbarmaq Mountains (top) to Baku (Same Day)</t>
  </si>
  <si>
    <t>Baku to Red Bridge to Baku (Same Day)</t>
  </si>
  <si>
    <t>Baku to Laqodexi to Baku (Same Day)</t>
  </si>
  <si>
    <t>Gabala to Sheki / Ganja to Gabala (Same Day)</t>
  </si>
  <si>
    <t>Sheki to Ganja to Sheki (Same Day)</t>
  </si>
  <si>
    <t>Sheki to Laqodexi to Sheki (Same Day)</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</si>
  <si>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Old City tour starts from Shamakhi Gates followed by Old city below places (Photo stop)
 -Shamakhi Gates
 -Sculptures of Azim Azimzadeh’s
 -Caravanserai of Bukhara
 -Caravanserai of Multani
 -Maiden’s Tower
 -Bazar Square
 -Miniature Books’ Museum
 -Shirvanshahs’ Palace</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</si>
  <si>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Nizami Street in Baku is an absolute must-visit! The vibrant atmosphere, beautifully lit streets, and a mix of modern and historic architecture create an unforgettable experience. It’s perfect for a leisurely stroll, shopping at high-end boutiques, or enjoying a meal at one of the many cafes and restaurants. The street truly comes alive in the evening, with its lively vibe and gorgeous lighting. Whether you’re a tourist or a local, Nizami Street offers something for everyone.</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</si>
  <si>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Walking tour starts along the Baku Boulevard followed by: -Mini Venice of Baku
 -Carpet Museum -Deniz Mall 
 -Ferries Wheel ride 
 -Carpet Museums
 -Boat cruise 
 -Cristal Hall
 -Biking Area</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</si>
  <si>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</si>
  <si>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Visit to Heydar Aliyev Center for PHOTO SHOOTING 
  &amp; “I LOVE BAKU” sign for PHOTOSTOP (entry to Vintage Car Museums)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t>
  </si>
  <si>
    <t>Gobustan + Absehron Tour</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</si>
  <si>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</si>
  <si>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</si>
  <si>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Shopping Tour starts: Guests are free to choose any of below Shopping Malls: 
 • Park Boulevard Mall
 • Port Baku Mall 
 • Ganjlik Mall
 • Nargiz Mall
 • Deniz Mall
 • 28th Mall
 • Green Bazaar</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</si>
  <si>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</si>
  <si>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</si>
  <si>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</si>
  <si>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</si>
  <si>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 Nizami Street in Baku is an absolute must-visit!The vibrant atmosphere, beautifully lit streets, and a mix of modern and historic architecture create an unforgettable experience. It’s perfect for a leisurely stroll, shopping at high-end boutiques, or enjoying a meal at one of the many cafes and restaurants. the Street truly comes alive in the evening, with its lively vibe and gorgeous lighting. Whether you’re a tourist or a local, Nizami Street offers something for everyone.</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</si>
  <si>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Walking tour starts along the Baku Boulevard followed by: -Mini Venice of Baku
 -Carpet Museum -Deniz Mall 
 -Ferries Wheel ride 
 -Carpet Museums
 -Boat cruise 
 -Cristal Hall
 -Biking Area</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</si>
  <si>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</si>
  <si>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 Visit to Heydar Aliyev Center for PHOTO SHOOTING 
  &amp; “I LOVE BAKU” sign for PHOTOSTOP (entry to Vintage Car Museums)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</si>
  <si>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 Shopping Tour starts: Guests are free to choose any of below Shopping Malls: 
 • Park Boulevard Mall
 • Port Baku Mall 
 • Ganjlik Mall
 • Nargiz Mall
 • Deniz Mall
 • 28th Mall
 • Green Bazaar</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</si>
  <si>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</si>
  <si>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 it was a shepherd that accidentally ignited the fire in the 1950s by tossing a cigarette, and that it has burnt ever since.)</t>
  </si>
  <si>
    <t>Absheron + Go Karting (Indoor)</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</si>
  <si>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</si>
  <si>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Absheron + Go Karting (Outdoor)</t>
  </si>
  <si>
    <t>Old City tour starts from Shamakhi Gates followed by Old city below places (Photo stop)
 -Shamakhi Gates
 -Sculptures of Azim Azimzadeh’s
 -Caravanserai of Bukhara
 -Caravanserai of Multani
 -Maiden’s Tower
 -Bazar Square
 -Miniature Books’ Museum
 -Shirvanshahs’ Palace + Nizami Street in Baku is an absolute must-visit! The vibrant atmosphere, beautifully lit streets, and a mix of modern and historic architecture create an unforgettable experience. It’s perfect for a leisurely stroll, shopping at high-end boutiques, or enjoying a meal at one of the many cafes and restaurants. The street truly comes alive in the evening, with its lively vibe and gorgeous lighting. Whether you’re a tourist or a local, Nizami Street offers something for everyone.</t>
  </si>
  <si>
    <t>Old City tour starts from Shamakhi Gates followed by Old city below places (Photo stop)
 -Shamakhi Gates
 -Sculptures of Azim Azimzadeh’s
 -Caravanserai of Bukhara
 -Caravanserai of Multani
 -Maiden’s Tower
 -Bazar Square
 -Miniature Books’ Museum
 -Shirvanshahs’ Palace</t>
  </si>
  <si>
    <t>Old City tour starts from Shamakhi Gates followed by Old city below places (Photo stop)
 -Shamakhi Gates
 -Sculptures of Azim Azimzadeh’s
 -Caravanserai of Bukhara
 -Caravanserai of Multani
 -Maiden’s Tower
 -Bazar Square
 -Miniature Books’ Museum
 -Shirvanshahs’ Palace + 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t>
  </si>
  <si>
    <t>Old City tour starts from Shamakhi Gates followed by Old city below places (Photo stop)
 -Shamakhi Gates
 -Sculptures of Azim Azimzadeh’s
 -Caravanserai of Bukhara
 -Caravanserai of Multani
 -Maiden’s Tower
 -Bazar Square
 -Miniature Books’ Museum
 -Shirvanshahs’ Palace + Visit to Heydar Aliyev Center for PHOTO SHOOTING 
  &amp; “I LOVE BAKU” sign for PHOTOSTOP (entry to Vintage Car Museums)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t>
  </si>
  <si>
    <t>Old City tour starts from Shamakhi Gates followed by Old city below places (Photo stop)
 -Shamakhi Gates
 -Sculptures of Azim Azimzadeh’s
 -Caravanserai of Bukhara
 -Caravanserai of Multani
 -Maiden’s Tower
 -Bazar Square
 -Miniature Books’ Museum
 -Shirvanshahs’ Palace + Shopping Tour starts: Guests are free to choose any of below Shopping Malls: 
 • Park Boulevard Mall
 • Port Baku Mall 
 • Ganjlik Mall
 • Nargiz Mall
 • Deniz Mall
 • 28th Mall
 • Green Bazaar</t>
  </si>
  <si>
    <t>Old City Tour + Fountain Square walking Tour</t>
  </si>
  <si>
    <t>Old City tour starts from Shamakhi Gates followed by Old city below places (Photo stop)
 -Shamakhi Gates
 -Sculptures of Azim Azimzadeh’s
 -Caravanserai of Bukhara
 -Caravanserai of Multani
 -Maiden’s Tower
 -Bazar Square
 -Miniature Books’ Museum
 -Shirvanshahs’ Palace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</si>
  <si>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Old City Tour + Shooting range</t>
  </si>
  <si>
    <t>Old City tour starts from Shamakhi Gates followed by Old city below places (Photo stop)
 -Shamakhi Gates
 -Sculptures of Azim Azimzadeh’s
 -Caravanserai of Bukhara
 -Caravanserai of Multani
 -Maiden’s Tower
 -Bazar Square
 -Miniature Books’ Museum
 -Shirvanshahs’ Palace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</si>
  <si>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Old City Tour + Go Karting (Indoor)</t>
  </si>
  <si>
    <t>Old City tour starts from Shamakhi Gates followed by Old city below places (Photo stop)
 -Shamakhi Gates
 -Sculptures of Azim Azimzadeh’s
 -Caravanserai of Bukhara
 -Caravanserai of Multani
 -Maiden’s Tower
 -Bazar Square
 -Miniature Books’ Museum
 -Shirvanshahs’ Palace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</si>
  <si>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Old City Tour + Go Karting (Outdoor)</t>
  </si>
  <si>
    <t>Nizami Street in Baku is an absolute must-visit! The vibrant atmosphere, beautifully lit streets, and a mix of modern and historic architecture create an unforgettable experience. It’s perfect for a leisurely stroll, shopping at high-end boutiques, or enjoying a meal at one of the many cafes and restaurants. The street truly comes alive in the evening, with its lively vibe and gorgeous lighting. Whether you’re a tourist or a local, Nizami Street offers something for everyone.</t>
  </si>
  <si>
    <t>Nizami Street in Baku is an absolute must-visit! The vibrant atmosphere, beautifully lit streets, and a mix of modern and historic architecture create an unforgettable experience. It’s perfect for a leisurely stroll, shopping at high-end boutiques, or enjoying a meal at one of the many cafes and restaurants. The street truly comes alive in the evening, with its lively vibe and gorgeous lighting. Whether you’re a tourist or a local, Nizami Street offers something for everyone. + 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t>
  </si>
  <si>
    <t>Nizami Street in Baku is an absolute must-visit! The vibrant atmosphere, beautifully lit streets, and a mix of modern and historic architecture create an unforgettable experience. It’s perfect for a leisurely stroll, shopping at high-end boutiques, or enjoying a meal at one of the many cafes and restaurants. The street truly comes alive in the evening, with its lively vibe and gorgeous lighting. Whether you’re a tourist or a local, Nizami Street offers something for everyone. + Visit to Heydar Aliyev Center for PHOTO SHOOTING 
  &amp; “I LOVE BAKU” sign for PHOTOSTOP (entry to Vintage Car Museums)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t>
  </si>
  <si>
    <t>Nizami Street in Baku is an absolute must-visit! The vibrant atmosphere, beautifully lit streets, and a mix of modern and historic architecture create an unforgettable experience. It’s perfect for a leisurely stroll, shopping at high-end boutiques, or enjoying a meal at one of the many cafes and restaurants. The street truly comes alive in the evening, with its lively vibe and gorgeous lighting. Whether you’re a tourist or a local, Nizami Street offers something for everyone. + Shopping Tour starts: Guests are free to choose any of below Shopping Malls: 
 • Park Boulevard Mall
 • Port Baku Mall 
 • Ganjlik Mall
 • Nargiz Mall
 • Deniz Mall
 • 28th Mall
 • Green Bazaar</t>
  </si>
  <si>
    <t>Nizami Street + Fountain Square walking Tour</t>
  </si>
  <si>
    <t>Nizami Street in Baku is an absolute must-visit! The vibrant atmosphere, beautifully lit streets, and a mix of modern and historic architecture create an unforgettable experience. It’s perfect for a leisurely stroll, shopping at high-end boutiques, or enjoying a meal at one of the many cafes and restaurants. The street truly comes alive in the evening, with its lively vibe and gorgeous lighting. Whether you’re a tourist or a local, Nizami Street offers something for everyone.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</si>
  <si>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Nizami Street in Baku is an absolute must-visit! The vibrant atmosphere, beautifully lit streets, and a mix of modern and historic architecture create an unforgettable experience. It’s perfect for a leisurely stroll, shopping at high-end boutiques, or enjoying a meal at one of the many cafes and restaurants. The street truly comes alive in the evening, with its lively vibe and gorgeous lighting. Whether you’re a tourist or a local, Nizami Street offers something for everyone.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</si>
  <si>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Nizami Street + Go Karting (Indoor)</t>
  </si>
  <si>
    <t>Nizami Street in Baku is an absolute must-visit! The vibrant atmosphere, beautifully lit streets, and a mix of modern and historic architecture create an unforgettable experience. It’s perfect for a leisurely stroll, shopping at high-end boutiques, or enjoying a meal at one of the many cafes and restaurants. The street truly comes alive in the evening, with its lively vibe and gorgeous lighting. Whether you’re a tourist or a local, Nizami Street offers something for everyone.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</si>
  <si>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Nizami Street + Go Karting (Outdoor)</t>
  </si>
  <si>
    <t>Walking tour starts along the Baku Boulevard followed by: -Mini Venice of Baku
 -Carpet Museum -Deniz Mall 
 -Ferries Wheel ride 
 -Carpet Museums
 -Boat cruise 
 -Cristal Hall
 -Biking Area + 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t>
  </si>
  <si>
    <t>Walking tour starts along the Baku Boulevard followed by: -Mini Venice of Baku
 -Carpet Museum -Deniz Mall 
 -Ferries Wheel ride 
 -Carpet Museums
 -Boat cruise 
 -Cristal Hall
 -Biking Area + Visit to Heydar Aliyev Center for PHOTO SHOOTING 
  &amp; “I LOVE BAKU” sign for PHOTOSTOP (entry to Vintage Car Museums)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t>
  </si>
  <si>
    <t>Walking tour starts along the Baku Boulevard followed by: -Mini Venice of Baku
 -Carpet Museum -Deniz Mall 
 -Ferries Wheel ride 
 -Carpet Museums
 -Boat cruise 
 -Cristal Hall
 -Biking Area</t>
  </si>
  <si>
    <t>Walking tour starts along the Baku Boulevard followed by: -Mini Venice of Baku
 -Carpet Museum -Deniz Mall 
 -Ferries Wheel ride 
 -Carpet Museums
 -Boat cruise 
 -Cristal Hall
 -Biking Area + Shopping Tour starts: Guests are free to choose any of below Shopping Malls: 
 • Park Boulevard Mall
 • Port Baku Mall 
 • Ganjlik Mall
 • Nargiz Mall
 • Deniz Mall
 • 28th Mall
 • Green Bazaar</t>
  </si>
  <si>
    <t>Boulevard Tour + Fountain Square walking Tour</t>
  </si>
  <si>
    <t>Walking tour starts along the Baku Boulevard followed by: -Mini Venice of Baku
 -Carpet Museum -Deniz Mall 
 -Ferries Wheel ride 
 -Carpet Museums
 -Boat cruise 
 -Cristal Hall
 -Biking Area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</si>
  <si>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Walking tour starts along the Baku Boulevard followed by: -Mini Venice of Baku
 -Carpet Museum -Deniz Mall 
 -Ferries Wheel ride 
 -Carpet Museums
 -Boat cruise 
 -Cristal Hall
 -Biking Area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</si>
  <si>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Boulevard Tour + Go Karting (Indoor)</t>
  </si>
  <si>
    <t>Walking tour starts along the Baku Boulevard followed by: -Mini Venice of Baku
 -Carpet Museum -Deniz Mall 
 -Ferries Wheel ride 
 -Carpet Museums
 -Boat cruise 
 -Cristal Hall
 -Biking Area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</si>
  <si>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Boulevard Tour + Go Karting (Outdoor)</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</si>
  <si>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 Visit to Heydar Aliyev Center for PHOTO SHOOTING 
  &amp; “I LOVE BAKU” sign for PHOTOSTOP (entry to Vintage Car Museums)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</si>
  <si>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</si>
  <si>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 Shopping Tour starts: Guests are free to choose any of below Shopping Malls: 
 • Park Boulevard Mall
 • Port Baku Mall 
 • Ganjlik Mall
 • Nargiz Mall
 • Deniz Mall
 • 28th Mall
 • Green Bazaar</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</si>
  <si>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</si>
  <si>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</si>
  <si>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Panaromic City Tour + Go Karting (Indoor)</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</si>
  <si>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</si>
  <si>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Panaromic City Tour + Go Karting (Outdoor)</t>
  </si>
  <si>
    <t>Visit to Heydar Aliyev Center for PHOTO SHOOTING 
  &amp; “I LOVE BAKU” sign for PHOTOSTOP (entry to Vintage Car Museums)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t>
  </si>
  <si>
    <t>Visit to Heydar Aliyev Center for PHOTO SHOOTING 
  &amp; “I LOVE BAKU” sign for PHOTOSTOP (entry to Vintage Car Museums)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 Shopping Tour starts: Guests are free to choose any of below Shopping Malls: 
 • Park Boulevard Mall
 • Port Baku Mall 
 • Ganjlik Mall
 • Nargiz Mall
 • Deniz Mall
 • 28th Mall
 • Green Bazaar</t>
  </si>
  <si>
    <t>Visit to Heydar Aliyev Center for PHOTO SHOOTING 
  &amp; “I LOVE BAKU” sign for PHOTOSTOP (entry to Vintage Car Museums)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</si>
  <si>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Heyder Aliyev Centre + Go Karting (Indoor)</t>
  </si>
  <si>
    <t>Visit to Heydar Aliyev Center for PHOTO SHOOTING 
  &amp; “I LOVE BAKU” sign for PHOTOSTOP (entry to Vintage Car Museums)
 (If it’s first time of your arrival to Baku, just be aware of 
 that from the bird view you can clearly see the Heydar 
 Aliyev’s Signature on the Heydar Aliyev’s Center design. 
 It’s a wave-like building rises from a bed of concrete.
 Its immobile white walls look as though they have been 
 frozen mid-ripple. The abstract architecture is unlike anything 
 else in the capital city. The Heydar Aliyev Center, which was 
 designed by renowned architect Zaha Hadid.)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</si>
  <si>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Heyder Aliyev Centre + Go Karting (Outdoor)</t>
  </si>
  <si>
    <t>Shopping Tour starts: Guests are free to choose any of below Shopping Malls: 
 • Park Boulevard Mall
 • Port Baku Mall 
 • Ganjlik Mall
 • Nargiz Mall
 • Deniz Mall
 • 28th Mall
 • Green Bazaar</t>
  </si>
  <si>
    <t>Shopping Tour starts: Guests are free to choose any of below Shopping Malls: 
 • Park Boulevard Mall
 • Port Baku Mall 
 • Ganjlik Mall
 • Nargiz Mall
 • Deniz Mall
 • 28th Mall
 • Green Bazaar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</si>
  <si>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Shopping Tour + Go Karting (Indoor)</t>
  </si>
  <si>
    <t>Shopping Tour starts: Guests are free to choose any of below Shopping Malls: 
 • Park Boulevard Mall
 • Port Baku Mall 
 • Ganjlik Mall
 • Nargiz Mall
 • Deniz Mall
 • 28th Mall
 • Green Bazaar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</si>
  <si>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Shopping Tour + Go Karting (Outdoor)</t>
  </si>
  <si>
    <t>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</si>
  <si>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Fountain Square Walking Tour + Go Karting (Indoor)</t>
  </si>
  <si>
    <t>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</si>
  <si>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Fountain Square Walking Tour + Go Karting (Outdoor)</t>
  </si>
  <si>
    <t>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</si>
  <si>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Shooting Range + Go Karting (Indoor)</t>
  </si>
  <si>
    <t>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</si>
  <si>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Shooting Range + Go Karting (Outdoor)</t>
  </si>
  <si>
    <t>Go Karting (Indoor) + Go Karting (Outdoor)</t>
  </si>
  <si>
    <t>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</si>
  <si>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Go Karting (Indoor) + Airport Drop</t>
  </si>
  <si>
    <t>Go Karting (Indoor) + Hotel Drop</t>
  </si>
  <si>
    <t>Go Karting (Outdoor) + Airport Drop</t>
  </si>
  <si>
    <t>Go Karting (Outdoor) + Hotel Drop</t>
  </si>
  <si>
    <t>Extra Overnight in Region</t>
  </si>
  <si>
    <t>1 Extra Night Stay in Region</t>
  </si>
  <si>
    <t>Pick-up from Airport - Drop to Hotel</t>
  </si>
  <si>
    <t>Shahdagh - Candy Cane Mountains</t>
  </si>
  <si>
    <t>Shahdagh - Baku city Tour</t>
  </si>
  <si>
    <t>Baku to Ismayilli to Baku (Same Day)</t>
  </si>
  <si>
    <t>Baku Hotel to Ismayilli (1 Night stay) to Baku Hotel</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</si>
  <si>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Old City tour starts from Shamakhi Gates followed by Old city below places (Photo stop)
  -Shamakhi Gates
  -Sculptures of Azim Azimzadehâ€™s
  -Caravanserai of Bukhara
  -Caravanserai of Multani
  -Maidenâ€™s Tower
  -Bazar Square
  -Miniature Booksâ€™ Museum
  -Shirvanshahsâ€™ Palace</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</si>
  <si>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Nizami Street in Baku is an absolute must-visit! The vibrant atmosphere, beautifully lit streets, and a mix of modern and historic architecture create an unforgettable experience. Itâ€™s perfect for a leisurely stroll, shopping at high-end boutiques, or enjoying a meal at one of the many cafes and restaurants. The street truly comes alive in the evening, with its lively vibe and gorgeous lighting. Whether youâ€™re a tourist or a local, Nizami Street offers something for everyone.</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</si>
  <si>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Walking tour starts along the Baku Boulevard followed by: -Mini Venice of Baku
  -Carpet Museum -Deniz Mall 
  -Ferries Wheel ride 
  -Carpet Museums
  -Boat cruise 
  -Cristal Hall
  -Biking Area</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</si>
  <si>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</si>
  <si>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Visit to Heydar Aliyev Center for PHOTO SHOOTING 
  &amp; â€œI LOVE BAKUâ€ sign for PHOTOSTOP (entry to Vintage Car Museums)
  (If itâ€™s first time of your arrival to Baku, just be aware of 
  that from the bird view you can clearly see the Heydar 
  Aliyevâ€™s Signature on the Heydar Aliyevâ€™s Center design. 
  Itâ€™s a wave-like building rises from a bed of concrete.
  Its immobile white walls look as though they have been 
  frozen mid-ripple. The abstract architecture is unlike anything 
  else in the capital city. The Heydar Aliyev Center, which was 
  designed by renowned architect Zaha Hadid.)</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</si>
  <si>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</si>
  <si>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</si>
  <si>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Shopping Tour starts: Guests are free to choose any of below Shopping Malls: 
  â€¢ Park Boulevard Mall
  â€¢ Port Baku Mall 
  â€¢ Ganjlik Mall
  â€¢ Nargiz Mall
  â€¢ Deniz Mall
  â€¢ 28th Mall
  â€¢ Green Bazaar</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</si>
  <si>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</si>
  <si>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</si>
  <si>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</si>
  <si>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</si>
  <si>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 Nizami Street in Baku is an absolute must-visit!The vibrant atmosphere, beautifully lit streets, and a mix of modern and historic architecture create an unforgettable experience. Itâ€™s perfect for a leisurely stroll, shopping at high-end boutiques, or enjoying a meal at one of the many cafes and restaurants. the Street truly comes alive in the evening, with its lively vibe and gorgeous lighting. Whether youâ€™re a tourist or a local, Nizami Street offers something for everyone.</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</si>
  <si>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Walking tour starts along the Baku Boulevard followed by: -Mini Venice of Baku
  -Carpet Museum -Deniz Mall 
  -Ferries Wheel ride 
  -Carpet Museums
  -Boat cruise 
  -Cristal Hall
  -Biking Area</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</si>
  <si>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</si>
  <si>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 Visit to Heydar Aliyev Center for PHOTO SHOOTING 
  &amp; â€œI LOVE BAKUâ€ sign for PHOTOSTOP (entry to Vintage Car Museums)
  (If itâ€™s first time of your arrival to Baku, just be aware of 
  that from the bird view you can clearly see the Heydar 
  Aliyevâ€™s Signature on the Heydar Aliyevâ€™s Center design. 
  Itâ€™s a wave-like building rises from a bed of concrete.
  Its immobile white walls look as though they have been 
  frozen mid-ripple. The abstract architecture is unlike anything 
  else in the capital city. The Heydar Aliyev Center, which was 
  designed by renowned architect Zaha Hadid.)</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</si>
  <si>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 Shopping Tour starts: Guests are free to choose any of below Shopping Malls: 
  â€¢ Park Boulevard Mall
  â€¢ Port Baku Mall 
  â€¢ Ganjlik Mall
  â€¢ Nargiz Mall
  â€¢ Deniz Mall
  â€¢ 28th Mall
  â€¢ Green Bazaar</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</si>
  <si>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</si>
  <si>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 it was a shepherd that accidentally ignited the fire in the 1950s by tossing a cigarette, and that it has burnt ever since.)</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</si>
  <si>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</si>
  <si>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Old City tour starts from Shamakhi Gates followed by Old city below places (Photo stop)
  -Shamakhi Gates
  -Sculptures of Azim Azimzadehâ€™s
  -Caravanserai of Bukhara
  -Caravanserai of Multani
  -Maidenâ€™s Tower
  -Bazar Square
  -Miniature Booksâ€™ Museum
  -Shirvanshahsâ€™ Palace + Nizami Street in Baku is an absolute must-visit! The vibrant atmosphere, beautifully lit streets, and a mix of modern and historic architecture create an unforgettable experience. Itâ€™s perfect for a leisurely stroll, shopping at high-end boutiques, or enjoying a meal at one of the many cafes and restaurants. The street truly comes alive in the evening, with its lively vibe and gorgeous lighting. Whether youâ€™re a tourist or a local, Nizami Street offers something for everyone.</t>
  </si>
  <si>
    <t>Old City tour starts from Shamakhi Gates followed by Old city below places (Photo stop)
  -Shamakhi Gates
  -Sculptures of Azim Azimzadehâ€™s
  -Caravanserai of Bukhara
  -Caravanserai of Multani
  -Maidenâ€™s Tower
  -Bazar Square
  -Miniature Booksâ€™ Museum
  -Shirvanshahsâ€™ Palace</t>
  </si>
  <si>
    <t>Old City tour starts from Shamakhi Gates followed by Old city below places (Photo stop)
  -Shamakhi Gates
  -Sculptures of Azim Azimzadehâ€™s
  -Caravanserai of Bukhara
  -Caravanserai of Multani
  -Maidenâ€™s Tower
  -Bazar Square
  -Miniature Booksâ€™ Museum
  -Shirvanshahsâ€™ Palace + 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t>
  </si>
  <si>
    <t>Old City tour starts from Shamakhi Gates followed by Old city below places (Photo stop)
  -Shamakhi Gates
  -Sculptures of Azim Azimzadehâ€™s
  -Caravanserai of Bukhara
  -Caravanserai of Multani
  -Maidenâ€™s Tower
  -Bazar Square
  -Miniature Booksâ€™ Museum
  -Shirvanshahsâ€™ Palace + Visit to Heydar Aliyev Center for PHOTO SHOOTING 
  &amp; â€œI LOVE BAKUâ€ sign for PHOTOSTOP (entry to Vintage Car Museums)
  (If itâ€™s first time of your arrival to Baku, just be aware of 
  that from the bird view you can clearly see the Heydar 
  Aliyevâ€™s Signature on the Heydar Aliyevâ€™s Center design. 
  Itâ€™s a wave-like building rises from a bed of concrete.
  Its immobile white walls look as though they have been 
  frozen mid-ripple. The abstract architecture is unlike anything 
  else in the capital city. The Heydar Aliyev Center, which was 
  designed by renowned architect Zaha Hadid.)</t>
  </si>
  <si>
    <t>Old City tour starts from Shamakhi Gates followed by Old city below places (Photo stop)
  -Shamakhi Gates
  -Sculptures of Azim Azimzadehâ€™s
  -Caravanserai of Bukhara
  -Caravanserai of Multani
  -Maidenâ€™s Tower
  -Bazar Square
  -Miniature Booksâ€™ Museum
  -Shirvanshahsâ€™ Palace + Shopping Tour starts: Guests are free to choose any of below Shopping Malls: 
  â€¢ Park Boulevard Mall
  â€¢ Port Baku Mall 
  â€¢ Ganjlik Mall
  â€¢ Nargiz Mall
  â€¢ Deniz Mall
  â€¢ 28th Mall
  â€¢ Green Bazaar</t>
  </si>
  <si>
    <t>Old City tour starts from Shamakhi Gates followed by Old city below places (Photo stop)
  -Shamakhi Gates
  -Sculptures of Azim Azimzadehâ€™s
  -Caravanserai of Bukhara
  -Caravanserai of Multani
  -Maidenâ€™s Tower
  -Bazar Square
  -Miniature Booksâ€™ Museum
  -Shirvanshahsâ€™ Palace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</si>
  <si>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Old City tour starts from Shamakhi Gates followed by Old city below places (Photo stop)
  -Shamakhi Gates
  -Sculptures of Azim Azimzadehâ€™s
  -Caravanserai of Bukhara
  -Caravanserai of Multani
  -Maidenâ€™s Tower
  -Bazar Square
  -Miniature Booksâ€™ Museum
  -Shirvanshahsâ€™ Palace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</si>
  <si>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Old City tour starts from Shamakhi Gates followed by Old city below places (Photo stop)
  -Shamakhi Gates
  -Sculptures of Azim Azimzadehâ€™s
  -Caravanserai of Bukhara
  -Caravanserai of Multani
  -Maidenâ€™s Tower
  -Bazar Square
  -Miniature Booksâ€™ Museum
  -Shirvanshahsâ€™ Palace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</si>
  <si>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Nizami Street in Baku is an absolute must-visit! The vibrant atmosphere, beautifully lit streets, and a mix of modern and historic architecture create an unforgettable experience. Itâ€™s perfect for a leisurely stroll, shopping at high-end boutiques, or enjoying a meal at one of the many cafes and restaurants. The street truly comes alive in the evening, with its lively vibe and gorgeous lighting. Whether youâ€™re a tourist or a local, Nizami Street offers something for everyone.</t>
  </si>
  <si>
    <t>Nizami Street in Baku is an absolute must-visit! The vibrant atmosphere, beautifully lit streets, and a mix of modern and historic architecture create an unforgettable experience. Itâ€™s perfect for a leisurely stroll, shopping at high-end boutiques, or enjoying a meal at one of the many cafes and restaurants. The street truly comes alive in the evening, with its lively vibe and gorgeous lighting. Whether youâ€™re a tourist or a local, Nizami Street offers something for everyone. + 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t>
  </si>
  <si>
    <t>Nizami Street in Baku is an absolute must-visit! The vibrant atmosphere, beautifully lit streets, and a mix of modern and historic architecture create an unforgettable experience. Itâ€™s perfect for a leisurely stroll, shopping at high-end boutiques, or enjoying a meal at one of the many cafes and restaurants. The street truly comes alive in the evening, with its lively vibe and gorgeous lighting. Whether youâ€™re a tourist or a local, Nizami Street offers something for everyone. + Visit to Heydar Aliyev Center for PHOTO SHOOTING 
  &amp; â€œI LOVE BAKUâ€ sign for PHOTOSTOP (entry to Vintage Car Museums)
  (If itâ€™s first time of your arrival to Baku, just be aware of 
  that from the bird view you can clearly see the Heydar 
  Aliyevâ€™s Signature on the Heydar Aliyevâ€™s Center design. 
  Itâ€™s a wave-like building rises from a bed of concrete.
  Its immobile white walls look as though they have been 
  frozen mid-ripple. The abstract architecture is unlike anything 
  else in the capital city. The Heydar Aliyev Center, which was 
  designed by renowned architect Zaha Hadid.)</t>
  </si>
  <si>
    <t>Nizami Street in Baku is an absolute must-visit! The vibrant atmosphere, beautifully lit streets, and a mix of modern and historic architecture create an unforgettable experience. Itâ€™s perfect for a leisurely stroll, shopping at high-end boutiques, or enjoying a meal at one of the many cafes and restaurants. The street truly comes alive in the evening, with its lively vibe and gorgeous lighting. Whether youâ€™re a tourist or a local, Nizami Street offers something for everyone. + Shopping Tour starts: Guests are free to choose any of below Shopping Malls: 
  â€¢ Park Boulevard Mall
  â€¢ Port Baku Mall 
  â€¢ Ganjlik Mall
  â€¢ Nargiz Mall
  â€¢ Deniz Mall
  â€¢ 28th Mall
  â€¢ Green Bazaar</t>
  </si>
  <si>
    <t>Nizami Street in Baku is an absolute must-visit! The vibrant atmosphere, beautifully lit streets, and a mix of modern and historic architecture create an unforgettable experience. Itâ€™s perfect for a leisurely stroll, shopping at high-end boutiques, or enjoying a meal at one of the many cafes and restaurants. The street truly comes alive in the evening, with its lively vibe and gorgeous lighting. Whether youâ€™re a tourist or a local, Nizami Street offers something for everyone.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</si>
  <si>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Nizami Street in Baku is an absolute must-visit! The vibrant atmosphere, beautifully lit streets, and a mix of modern and historic architecture create an unforgettable experience. Itâ€™s perfect for a leisurely stroll, shopping at high-end boutiques, or enjoying a meal at one of the many cafes and restaurants. The street truly comes alive in the evening, with its lively vibe and gorgeous lighting. Whether youâ€™re a tourist or a local, Nizami Street offers something for everyone.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</si>
  <si>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Walking tour starts along the Baku Boulevard followed by: -Mini Venice of Baku
  -Carpet Museum -Deniz Mall 
  -Ferries Wheel ride 
  -Carpet Museums
  -Boat cruise 
  -Cristal Hall
  -Biking Area + 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t>
  </si>
  <si>
    <t>Walking tour starts along the Baku Boulevard followed by: -Mini Venice of Baku
  -Carpet Museum -Deniz Mall 
  -Ferries Wheel ride 
  -Carpet Museums
  -Boat cruise 
  -Cristal Hall
  -Biking Area + Visit to Heydar Aliyev Center for PHOTO SHOOTING 
  &amp; â€œI LOVE BAKUâ€ sign for PHOTOSTOP (entry to Vintage Car Museums)
  (If itâ€™s first time of your arrival to Baku, just be aware of 
  that from the bird view you can clearly see the Heydar 
  Aliyevâ€™s Signature on the Heydar Aliyevâ€™s Center design. 
  Itâ€™s a wave-like building rises from a bed of concrete.
  Its immobile white walls look as though they have been 
  frozen mid-ripple. The abstract architecture is unlike anything 
  else in the capital city. The Heydar Aliyev Center, which was 
  designed by renowned architect Zaha Hadid.)</t>
  </si>
  <si>
    <t>Walking tour starts along the Baku Boulevard followed by: -Mini Venice of Baku
  -Carpet Museum -Deniz Mall 
  -Ferries Wheel ride 
  -Carpet Museums
  -Boat cruise 
  -Cristal Hall
  -Biking Area</t>
  </si>
  <si>
    <t>Walking tour starts along the Baku Boulevard followed by: -Mini Venice of Baku
  -Carpet Museum -Deniz Mall 
  -Ferries Wheel ride 
  -Carpet Museums
  -Boat cruise 
  -Cristal Hall
  -Biking Area + Shopping Tour starts: Guests are free to choose any of below Shopping Malls: 
  â€¢ Park Boulevard Mall
  â€¢ Port Baku Mall 
  â€¢ Ganjlik Mall
  â€¢ Nargiz Mall
  â€¢ Deniz Mall
  â€¢ 28th Mall
  â€¢ Green Bazaar</t>
  </si>
  <si>
    <t>Walking tour starts along the Baku Boulevard followed by: -Mini Venice of Baku
  -Carpet Museum -Deniz Mall 
  -Ferries Wheel ride 
  -Carpet Museums
  -Boat cruise 
  -Cristal Hall
  -Biking Area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</si>
  <si>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Walking tour starts along the Baku Boulevard followed by: -Mini Venice of Baku
  -Carpet Museum -Deniz Mall 
  -Ferries Wheel ride 
  -Carpet Museums
  -Boat cruise 
  -Cristal Hall
  -Biking Area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</si>
  <si>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 Visit to Heydar Aliyev Center for PHOTO SHOOTING 
  &amp; â€œI LOVE BAKUâ€ sign for PHOTOSTOP (entry to Vintage Car Museums)
  (If itâ€™s first time of your arrival to Baku, just be aware of 
  that from the bird view you can clearly see the Heydar 
  Aliyevâ€™s Signature on the Heydar Aliyevâ€™s Center design. 
  Itâ€™s a wave-like building rises from a bed of concrete.
  Its immobile white walls look as though they have been 
  frozen mid-ripple. The abstract architecture is unlike anything 
  else in the capital city. The Heydar Aliyev Center, which was 
  designed by renowned architect Zaha Hadid.)</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</si>
  <si>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</si>
  <si>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 Shopping Tour starts: Guests are free to choose any of below Shopping Malls: 
  â€¢ Park Boulevard Mall
  â€¢ Port Baku Mall 
  â€¢ Ganjlik Mall
  â€¢ Nargiz Mall
  â€¢ Deniz Mall
  â€¢ 28th Mall
  â€¢ Green Bazaar</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</si>
  <si>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</si>
  <si>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</si>
  <si>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</si>
  <si>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Visit to Heydar Aliyev Center for PHOTO SHOOTING 
  &amp; â€œI LOVE BAKUâ€ sign for PHOTOSTOP (entry to Vintage Car Museums)
  (If itâ€™s first time of your arrival to Baku, just be aware of 
  that from the bird view you can clearly see the Heydar 
  Aliyevâ€™s Signature on the Heydar Aliyevâ€™s Center design. 
  Itâ€™s a wave-like building rises from a bed of concrete.
  Its immobile white walls look as though they have been 
  frozen mid-ripple. The abstract architecture is unlike anything 
  else in the capital city. The Heydar Aliyev Center, which was 
  designed by renowned architect Zaha Hadid.)</t>
  </si>
  <si>
    <t>Visit to Heydar Aliyev Center for PHOTO SHOOTING 
  &amp; â€œI LOVE BAKUâ€ sign for PHOTOSTOP (entry to Vintage Car Museums)
  (If itâ€™s first time of your arrival to Baku, just be aware of 
  that from the bird view you can clearly see the Heydar 
  Aliyevâ€™s Signature on the Heydar Aliyevâ€™s Center design. 
  Itâ€™s a wave-like building rises from a bed of concrete.
  Its immobile white walls look as though they have been 
  frozen mid-ripple. The abstract architecture is unlike anything 
  else in the capital city. The Heydar Aliyev Center, which was 
  designed by renowned architect Zaha Hadid.) + Shopping Tour starts: Guests are free to choose any of below Shopping Malls: 
  â€¢ Park Boulevard Mall
  â€¢ Port Baku Mall 
  â€¢ Ganjlik Mall
  â€¢ Nargiz Mall
  â€¢ Deniz Mall
  â€¢ 28th Mall
  â€¢ Green Bazaar</t>
  </si>
  <si>
    <t>Visit to Heydar Aliyev Center for PHOTO SHOOTING 
  &amp; â€œI LOVE BAKUâ€ sign for PHOTOSTOP (entry to Vintage Car Museums)
  (If itâ€™s first time of your arrival to Baku, just be aware of 
  that from the bird view you can clearly see the Heydar 
  Aliyevâ€™s Signature on the Heydar Aliyevâ€™s Center design. 
  Itâ€™s a wave-like building rises from a bed of concrete.
  Its immobile white walls look as though they have been 
  frozen mid-ripple. The abstract architecture is unlike anything 
  else in the capital city. The Heydar Aliyev Center, which was 
  designed by renowned architect Zaha Hadid.)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</si>
  <si>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Visit to Heydar Aliyev Center for PHOTO SHOOTING 
  &amp; â€œI LOVE BAKUâ€ sign for PHOTOSTOP (entry to Vintage Car Museums)
  (If itâ€™s first time of your arrival to Baku, just be aware of 
  that from the bird view you can clearly see the Heydar 
  Aliyevâ€™s Signature on the Heydar Aliyevâ€™s Center design. 
  Itâ€™s a wave-like building rises from a bed of concrete.
  Its immobile white walls look as though they have been 
  frozen mid-ripple. The abstract architecture is unlike anything 
  else in the capital city. The Heydar Aliyev Center, which was 
  designed by renowned architect Zaha Hadid.)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</si>
  <si>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Shopping Tour starts: Guests are free to choose any of below Shopping Malls: 
  â€¢ Park Boulevard Mall
  â€¢ Port Baku Mall 
  â€¢ Ganjlik Mall
  â€¢ Nargiz Mall
  â€¢ Deniz Mall
  â€¢ 28th Mall
  â€¢ Green Bazaar</t>
  </si>
  <si>
    <t>Shopping Tour starts: Guests are free to choose any of below Shopping Malls: 
  â€¢ Park Boulevard Mall
  â€¢ Port Baku Mall 
  â€¢ Ganjlik Mall
  â€¢ Nargiz Mall
  â€¢ Deniz Mall
  â€¢ 28th Mall
  â€¢ Green Bazaar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</si>
  <si>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Shopping Tour starts: Guests are free to choose any of below Shopping Malls: 
  â€¢ Park Boulevard Mall
  â€¢ Port Baku Mall 
  â€¢ Ganjlik Mall
  â€¢ Nargiz Mall
  â€¢ Deniz Mall
  â€¢ 28th Mall
  â€¢ Green Bazaar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</si>
  <si>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Fountain Square walking tour (The square is a public gathering place, especially after business hours and during the weekend. It is an attractive tourist destination with many boutiques, restaurants, shops, hotels and passage. This is one of the most crowd and lively places in the city.)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</si>
  <si>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</si>
  <si>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</si>
  <si>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Walking tour starts along the Baku Boulevard followed by: -Mini Venice of Baku
  -Carpet Museum -Deniz Mall 
  -Ferries Wheel ride 
  -Carpet Museums
  -Boat cruise 
  -Cristal Hall
  -Biking Area</t>
  </si>
  <si>
    <t>Pick-up from Hotel - Drop to Airport</t>
  </si>
  <si>
    <t>Pick-up from Hotel - Lunch - Drop to Airport</t>
  </si>
  <si>
    <t>1 Night Extra Stay in Region</t>
  </si>
  <si>
    <t>1 Day Extra Sightseeing tour in Region</t>
  </si>
  <si>
    <t>Return back from Region to Baku City</t>
  </si>
  <si>
    <t>1 Day Baku City Tour</t>
  </si>
  <si>
    <t>Nizami Street in Baku is an absolute must-visit! The vibrant atmosphere, beautifully lit streets, and a mix of modern and historic architecture create an unforgettable experience. Itâ€™s perfect for a leisurely stroll, shopping at high-end boutiques, or enjoying a meal at one of the many cafes and restaurants. The street truly comes alive in the evening, with its lively vibe and gorgeous lighting. Whether youâ€™re a tourist or a local, Nizami Street offers something for everyone. +                  Old City tour starts from Shamakhi Gates followed by Old city below places (Photo stop) -Shamakhi Gates -Sculptures of Azim Azimzadehâ€™s -Caravanserai of Bukhara -Caravanserai of Multani -Maidenâ€™s Tower -Bazar Square -Miniature Booksâ€™ Museum -Shirvanshahsâ€™ Palace + Walking tour starts along the Baku Boulevard followed by: -Mini Venice of Baku
  -Carpet Museum -Deniz Mall 
  -Ferries Wheel ride 
  -Carpet Museums
  -Boat cruise 
  -Cristal Hall
  -Biking Area       +     Visit to Heydar Aliyev Center for PHOTO SHOOTING 
  &amp; â€œI LOVE BAKUâ€ sign for PHOTOSTOP
  (If itâ€™s first time of your arrival to Baku, just be aware of 
  that from the bird view you can clearly see the Heydar 
  Aliyevâ€™s Signature on the Heydar Aliyevâ€™s Center design. 
  Itâ€™s a wave-like building rises from a bed of concrete.
  Its immobile white walls look as though they have been 
  frozen mid-ripple. The abstract architecture is unlike anything 
  else in the capital city. The Heydar Aliyev Center, which was 
  designed by renowned architect Zaha Hadid.)</t>
  </si>
  <si>
    <t>1 Day Baku City Tour (W/O Hy)</t>
  </si>
  <si>
    <t>Nizami Street in Baku is an absolute must-visit! The vibrant atmosphere, beautifully lit streets, and a mix of modern and historic architecture create an unforgettable experience. Itâ€™s perfect for a leisurely stroll, shopping at high-end boutiques, or enjoying a meal at one of the many cafes and restaurants. The street truly comes alive in the evening, with its lively vibe and gorgeous lighting. Whether youâ€™re a tourist or a local, Nizami Street offers something for everyone. +                  Old City tour starts from Shamakhi Gates followed by Old city below places (Photo stop) -Shamakhi Gates -Sculptures of Azim Azimzadehâ€™s -Caravanserai of Bukhara -Caravanserai of Multani -Maidenâ€™s Tower -Bazar Square -Miniature Booksâ€™ Museum -Shirvanshahsâ€™ Palace + Walking tour starts along the Baku Boulevard followed by: -Mini Venice of Baku
  -Carpet Museum -Deniz Mall 
  -Ferries Wheel ride 
  -Carpet Museums
  -Boat cruise 
  -Cristal Hall
  -Biking Area</t>
  </si>
  <si>
    <t>Free Day</t>
  </si>
  <si>
    <t>Explore on Own</t>
  </si>
  <si>
    <t>No Transportation &amp; Activity are included. Guest are on their own to explore.</t>
  </si>
  <si>
    <t xml:space="preserve">Hotel </t>
  </si>
  <si>
    <t xml:space="preserve">Panoramic City tour </t>
  </si>
  <si>
    <t xml:space="preserve">Pick-up from Baku Airport, Transfer to Hotel   </t>
  </si>
  <si>
    <t>Shopping/City tour - Lunch - Airport</t>
  </si>
  <si>
    <t>Baku Hotel to Shopping drop or Baku City Tour to Baku Airport</t>
  </si>
  <si>
    <t>Lunch - Baku Airport</t>
  </si>
  <si>
    <t>Baku Hotel to Indian Restaurant in Baku to Baku Airport</t>
  </si>
  <si>
    <t xml:space="preserve">1 Day Baku City Tour </t>
  </si>
  <si>
    <t>Gobustan - Absheron</t>
  </si>
  <si>
    <t>Baku Hotel to Gobusthan to Abseron to Hotel</t>
  </si>
  <si>
    <t>Gobustan - Absheron-City tour</t>
  </si>
  <si>
    <t>Baku Hotel to Gobusthan to Abseron to City Tour to Hotel</t>
  </si>
  <si>
    <t>Baku to Shamakhi to Baku (Same Day) Alpaca Farm is located in the Shamakhi district, 
  close to the Meyseri vineyards, surrounded by picturesque
  mountains and green pastures. For the construction of the farm,
  the Shamakhi district was not chosen by chance. Most of this 
  area is a resort area with multiple springs. It is rich in mountain forests and meadows, and is located in a zone of moderate humidity, which makes it ideal for keeping alpacas.In addition, on the territory of the farm there will be souvenir shops with handmade dolls, stationery, bags of fertilizer, branded merch (T-shirts, hoodies, caps).</t>
  </si>
  <si>
    <t>Baku Hotel to Shamakhi to Baku City Tour to Baku Hotel Alpaca Farm is located in the Shamakhi district, 
  close to the Meyseri vineyards, surrounded by picturesque
  mountains and green pastures. For the construction of the farm,
  the Shamakhi district was not chosen by chance. Most of this 
  area is a resort area with multiple springs. It is rich in mountain forests and meadows, and is located in a zone of moderate humidity, which makes it ideal for keeping alpacas.In addition, on the territory of the farm there will be souvenir shops with handmade dolls, stationery, bags of fertilizer, branded merch (T-shirts, hoodies, caps).</t>
  </si>
  <si>
    <t>Baku to Guba to Baku (Same Day) Guba and visiting the Guba Genocide 
  Memorial Complex.
  The mass grave, discovered accidentally during the 
  excavations for construction purposes in the town of Guba 
  in 2007, was a clear evidence of the genocide of the Muslim 
  population of Guba, committed by Armenian armed forces 
  under Bolshevik name in May 1918. The area is wonderful 
  on the left side of river Qudiyal-chay. Here you can see the 
  part of history of our nation and relax with nature.
  Visiting Qecresh Forest 
 Qechresh Forest, also known as Gachresh Forest, is one of the largest forests in Azerbaijan, located near the town of Quba. Renowned for its dense foliage and majestic landscape, it features a rich biodiversity and is a habitat for various plant species and wildlife. The forest's high altitude and clean, fresh air make it a perfect spot for those looking for outdoor adventures or simply to relax .</t>
  </si>
  <si>
    <t>Baku to Guba to Baku (1 Night Stay in Guba) Reaching to Guba and visiting the Guba Genocide 
  Memorial Complex.
  The mass grave, discovered accidentally during the 
  excavations for construction purposes in the town of Guba 
  in 2007, was a clear evidence of the genocide of the Muslim 
  population of Guba, committed by Armenian armed forces 
  under Bolshevik name in May 1918. The area is wonderful 
  on the left side of river Qudiyal-chay. Here you can see the 
  part of history of our nation and relax with nature.
  Visiting Qecresh Forest 
 Qechresh Forest, also known as Gachresh Forest, is one of the largest forests in Azerbaijan, located near the town of Quba. Renowned for its dense foliage and majestic landscape, it features a rich biodiversity and is a habitat for various plant species and wildlife. The forest's high altitude and clean, fresh air make it a perfect spot for those looking for outdoor adventures or simply to relax .</t>
  </si>
  <si>
    <t>Baku to Shahdag to Baku (Same Day) visit Shahdag Mountains 
 ( Shahdag is the highest part of the side ridge in the territory of the Republic of Azerbaijan. It is separated from the Kyzylgaya plateau by the Gusar river valley. composed of sediments of the Jurassic and Cretaceous systems. Its height is up to 4243 meters (Shahdag peak). There are alpine and subalpine meadows, glaciers with an area of more than 1 square km.)
 Discover the wonders of Shahdag, a land of ancient glaciers, majestic valleys, and stunning mountain lakes! Designed with avid outdoor enthusiasts in mind, Shahdag Mountain Resort offers an array of thrilling activities throughout the year. Picture yourself zooming down the slopes, feeling the crisp mountain air on your face as you carve your way through powdery snow. And for those seeking an adrenaline rush of a different kind, don't miss the Shahdag Coaster, an exhilarating roller coaster that takes you on a wild ride through the breathtaking mountain scenery.</t>
  </si>
  <si>
    <t>Baku Hotel to Shahdag (1 Night stay) to Baku Hotel -visit Shahdag Mountains 
 ( Shahdag is the highest part of the side ridge in the territory of the Republic of Azerbaijan. It is separated from the Kyzylgaya plateau by the Gusar river valley. composed of sediments of the Jurassic and Cretaceous systems. Its height is up to 4243 meters (Shahdag peak). There are alpine and subalpine meadows, glaciers with an area of more than 1 square km.)
 Discover the wonders of Shahdag, a land of ancient glaciers, majestic valleys, and stunning mountain lakes! Designed with avid outdoor enthusiasts in mind, Shahdag Mountain Resort offers an array of thrilling activities throughout the year. Picture yourself zooming down the slopes, feeling the crisp mountain air on your face as you carve your way through powdery snow. And for those seeking an adrenaline rush of a different kind, don't miss the Shahdag Coaster, an exhilarating roller coaster that takes you on a wild ride through the breathtaking mountain scenery.</t>
  </si>
  <si>
    <t>Baku Hotel to Shahdag + Candy Cane Mountain Visit to Baku Hotel Candy Cane Mountains are a psychedelic, red-pink and white striped area of exposed rock in the Northwest of Azerbaijan. Iron in the ground gives the mountains their deep red color and powdery shale makes up the white parts. Through a geological process, they’ve mixed together underground, layer on top of layer, and when exposed to the elements, they eroded into a beautiful, completely bizarre sight</t>
  </si>
  <si>
    <t>Baku to Gabala to Baku (Same Day) visit Tufandag Mountains
 (Tufandagh is a mountain peak of the Greater Caucasus range, 
 located in the Qusar District of Azerbaijan. With an elevation of 
 4,191 metres (13,750 ft) above sea level, it third highest mountain 
 in Azerbaijan). Visit to Nohur lake, guests enjoy with Panoramic Nature view (Located about 5 km. east of the Gabala city, the lake is surrounded by the forests and high mountains called Yumru, Goydag and Gulluburun. The lake covers 240 ha in total and has the maximum depth of 24 meters. The Nohur lake has very clear water thanks to the fresh water sources spilt into the lake. Apart from the small seasonal water supply coming from the mountains of Caucasus, Damiraparan and Vandam rivers also flow to the lake.)</t>
  </si>
  <si>
    <t>Baku Hotel to Gabala (1 Night stay) to Baku Hotel visit Tufandag Mountains
 (Tufandagh is a mountain peak of the Greater Caucasus range, 
 located in the Qusar District of Azerbaijan. With an elevation of 
 4,191 metres (13,750 ft) above sea level, it third highest mountain 
 in Azerbaijan). Visit to Nohur lake, guests enjoy with Panoramic Nature view (Located about 5 km. east of the Gabala city, the lake is surrounded by the forests and high mountains called Yumru, Goydag and Gulluburun. The lake covers 240 ha in total and has the maximum depth of 24 meters. The Nohur lake has very clear water thanks to the fresh water sources spilt into the lake. Apart from the small seasonal water supply coming from the mountains of Caucasus, Damiraparan and Vandam rivers also flow to the lake.)</t>
  </si>
  <si>
    <t>Baku to Sheki to Gobusthan to Baku (Same Day) Church of Kish
 (Kish is one of the oldest villages in present-day Azerbaijan, and is well-known for a church here, during the period of Caucasian Albania. The current building of the temple of Saint Elisha was built in the 10-12th centuries. According to some scholars’ opinions, the church in Kish stands on the same place where St. Elisha founded his own church. That is why the temple in Kish is often referred to as one of the oldest spiritual centers in the Caucasus, since St. Elisha was the first patriarch of the Church of Caucasian Albania and an early Christian leader in the Caucasus.) SHEKI FORTRESS. The Sheki fortress was built to protect the historic center that is now a UNESCO World Heritage site. The original walls were 8 meters high and 2 meters thick with several defensive towers and arched gateways. Unfortunately, most of the fortress was destroyed, although some parts have been restored. SHEKI KARAVAN SERAY The Karavan Seray hotel, it is one of the top things to do in Sheki. Caravanserais along thje silk road provided a secure place to sleep for merchants passing through with their camels and donkeys. TASTING SHEKI HALVA The great food in Sheki was not restricted to the market and trying some of the local delicacies is one of the great things to do in Sheki. In the Caucasus it becomes difficult to keep track of all the great food experiences you will have, but Sheki Halva makes it high up the list + Gobustan National Park Museum followed by Gobustan Petroglyph Rock Art Cultural Landscape Rock paintings of Gobustan were first discovered in 1939 by archaeologist I. Jafarzade. On this territory there are many traces of primitive inhabitance of people belong tothe period of the Paleolithic and Mesolithic. Rock engravings Gobusta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theGobustan museum included to the UNESCO World Heritage List. + Old City tour starts from Shamakhi Gates followed by Old city below places (Photo stop)</t>
  </si>
  <si>
    <t>Baku to Sheki to Baku (Same Day) Church of Kish
 (Kish is one of the oldest villages in present-day Azerbaijan, and is well-known for a church here, during the period of Caucasian Albania. The current building of the temple of Saint Elisha was built in the 10-12th centuries. According to some scholars’ opinions, the church in Kish stands on the same place where St. Elisha founded his own church. That is why the temple in Kish is often referred to as one of the oldest spiritual centers in the Caucasus, since St. Elisha was the first patriarch of the Church of Caucasian Albania and an early Christian leader in the Caucasus.)SHEKI FORTRESS. The Sheki fortress was built to protect the historic center that is now a UNESCO World Heritage site. The original walls were 8 meters high and 2 meters thick with several defensive towers and arched gateways. Unfortunately, most of the fortress was destroyed, although some parts have been restored.
  SHEKI KARAVAN SERAY The Karavan Seray hotel, it is one of the top things to do in Sheki.Caravanserais along thje silk road provided a secure place to sleep for merchants passing through with their camels and donkeys.
  TASTING SHEKI HALVA The great food in Sheki was not restricted to the market and trying some of the local delicacies is one of the great things to do in Sheki. In the Caucasus it becomes difficult to keep track of all the great food experiences you will have, but Sheki Halva makes it high up the list</t>
  </si>
  <si>
    <t>Baku Hotel to Sheki (1 Night stay) to Baku Hotel Church of Kish
 (Kish is one of the oldest villages in present-day Azerbaijan, and is well-known for a church here, during the period of Caucasian Albania. The current building of the temple of Saint Elisha was built in the 10-12th centuries. According to some scholars’ opinions, the church in Kish stands on the same place where St. Elisha founded his own church. That is why the temple in Kish is often referred to as one of the oldest spiritual centers in the Caucasus, since St. Elisha was the first patriarch of the Church of Caucasian Albania and an early Christian leader in the Caucasus.) SHEKI FORTRESS. The Sheki fortress was built to protect the historic center that is now a UNESCO World Heritage site. The original walls were 8 meters high and 2 meters thick with several defensive towers and arched gateways. Unfortunately, most of the fortress was destroyed, although some parts have been restored. SHEKI KARAVAN SERAY The Karavan Seray hotel, it is one of the top things to do in Sheki. Caravanserais along thje silk road provided a secure place to sleep for merchants passing through with their camels and donkeys. TASTING SHEKI HALVA The great food in Sheki was not restricted to the market and trying some of the local delicacies is one of the great things to do in Sheki. In the Caucasus it becomes difficult to keep track of all the great food experiences you will have, but Sheki Halva makes it high up the list</t>
  </si>
  <si>
    <t>Baku to Ganja to Baku (Same Day) Visiting the Nizami Ganjavi Mausoleum
 As one of Ganja’s most prestigious historical sites, the mausoleum complex of the superb Azerbaijani poet Nizami Ganjavi is one of the city’s most worthwhile places to visit. The mausoleum was restored in 1990-1991, giving it the status of a protected complex. In the lower part within the monument, you can find the poet’s crypt. In front of the mausoleum, there is a square adorned with fantastic creatures symbolising Nizami's ‘Khamsa,’ where visitors can stroll, take pictures to share and enjoy spectacular views of the city of Ganja.
 In front of Nizami's mausoleum is Nizami Ganjavi Museum, where books and monographs are on display, published for commemoration jubilees of the poet’s birthday. Moreover, the museum showcases originals and copies of rare manuscripts and miniatures of Nizami's Khamsa, preserved in national libraries in Austria, Russia, Germany, the United Kingdom, the Library of Alexandria in Egypt, the Strasbourg Central Library in France and the Metropolitan Museum in the United States. The museum also has a conference hall for educational events, which is open to visitors interested in cultural and scientific activities in Ganja.Visiting Javad Khan Street.This street, one of the most central and longest in Ganja, is named after Ganja's last khan, Javad Khan. It is one of the most visited and beautiful places in Ganja among both locals and foreign tourists. The architectural heritage of Ganja, characterised by red brickwork, has been characteristic of this street for centuries. Even in renovated buildings, ancient ornaments and patterns have been restored and emphasised, visi Nizami Ganjavi Square, visit Javad Khan Tomb. Ganja owes its current tranquillity to the raging battles and courageous fighters of the past. The memory of Javad Khan, who died defending his beloved Ganja in one of these struggles, lives on in Javad Khan Mausoleum – a fitting tribute erected over his grave.</t>
  </si>
  <si>
    <t>Baku Hotel to Ganja (1 Night stay) to Baku Hotel Visiting the Nizami Ganjavi Mausoleum
 As one of Ganja’s most prestigious historical sites, the mausoleum complex of the superb Azerbaijani poet Nizami Ganjavi is one of the city’s most worthwhile places to visit. The mausoleum was restored in 1990-1991, giving it the status of a protected complex. In the lower part within the monument, you can find the poet’s crypt. In front of the mausoleum, there is a square adorned with fantastic creatures symbolising Nizami's ‘Khamsa,’ where visitors can stroll, take pictures to share and enjoy spectacular views of the city of Ganja.
 In front of Nizami's mausoleum is Nizami Ganjavi Museum, where books and monographs are on display, published for commemoration jubilees of the poet’s birthday. Moreover, the museum showcases originals and copies of rare manuscripts and miniatures of Nizami's Khamsa, preserved in national libraries in Austria, Russia, Germany, the United Kingdom, the Library of Alexandria in Egypt, the Strasbourg Central Library in France and the Metropolitan Museum in the United States. The museum also has a conference hall for educational events, which is open to visitors interested in cultural and scientific activities in Ganja.Visiting Javad Khan Street.This street, one of the most central and longest in Ganja, is named after Ganja's last khan, Javad Khan. It is one of the most visited and beautiful places in Ganja among both locals and foreign tourists. The architectural heritage of Ganja, characterised by red brickwork, has been characteristic of this street for centuries. Even in renovated buildings, ancient ornaments and patterns have been restored and emphasised, visi Nizami Ganjavi Square, visit Javad Khan Tomb. Ganja owes its current tranquillity to the raging battles and courageous fighters of the past. The memory of Javad Khan, who died defending his beloved Ganja in one of these struggles, lives on in Javad Khan Mausoleum – a fitting tribute erected over his grave.</t>
  </si>
  <si>
    <t>Gabala to Sheki to Gabala (Same Day) Church of Kish
 (Kish is one of the oldest villages in present-day Azerbaijan, and is well-known for a church here, during the period of Caucasian Albania. The current building of the temple of Saint Elisha was built in the 10-12th centuries. According to some scholars’ opinions, the church in Kish stands on the same place where St. Elisha founded his own church. That is why the temple in Kish is often referred to as one of the oldest spiritual centers in the Caucasus, since St. Elisha was the first patriarch of the Church of Caucasian Albania and an early Christian leader in the Caucasus.) SHEKI FORTRESS. The Sheki fortress was built to protect the historic center that is now a UNESCO World Heritage site. The original walls were 8 meters high and 2 meters thick with several defensive towers and arched gateways. Unfortunately, most of the fortress was destroyed, although some parts have been restored. SHEKI KARAVAN SERAY The Karavan Seray hotel, it is one of the top things to do in Sheki. Caravanserais along thje silk road provided a secure place to sleep for merchants passing through with their camels and donkeys. TASTING SHEKI HALVA The great food in Sheki was not restricted to the market and trying some of the local delicacies is one of the great things to do in Sheki. In the Caucasus it becomes difficult to keep track of all the great food experiences you will have, but Sheki Halva makes it high up the list</t>
  </si>
  <si>
    <t>Gabala to Sheki / Ganja to Gabala (Same Day) visit Tufandag Mountains with (Tufandagh is a mountain peak of the Greater Caucasus range, 
 located in the Qusar District of Azerbaijan. With an elevation of 
 4,191 metres (13,750 ft) above sea level, it third highest mountain 
 in Azerbaijan)
 17:00 Visit to Nohur lake, guests enjoy with Panoramic Nature view (Located about 5 km. east of the Gabala city, the lake is surrounded by the forests and high mountains called Yumru, Goydag and Gulluburun. The lake covers 240 ha in total and has the maximum depth of 24 meters. The Nohur lake has very clear water thanks to the fresh water sources spilt into the lake. Apart from the small seasonal water supply coming from the mountains of Caucasus, Damiraparan and Vandam rivers also flow to the lake</t>
  </si>
  <si>
    <t>Sheki to Ganja to Sheki (Same Day) 14:00 Church of Kish
 (Kish is one of the oldest villages in present-day Azerbaijan, and is well-known for a church here, during the period of Caucasian Albania. The current building of the temple of Saint Elisha was built in the 10-12th centuries. According to some scholars’ opinions, the church in Kish stands on the same place where St. Elisha founded his own church. That is why the temple in Kish is often referred to as one of the oldest spiritual centers in the Caucasus, since St. Elisha was the first patriarch of the Church of Caucasian Albania and an early Christian leader in the Caucasus.)
 15:00 SHEKI FORTRESS. The Sheki fortress was built to protect the historic center that is now a UNESCO World Heritage site. The original walls were 8 meters high and 2 meters thick with several defensive towers and arched gateways. Unfortunately, most of the fortress was destroyed, although some parts have been restored.
  15:30 SHEKI KARAVAN SERAY The Karavan Seray hotel, it is one of the top things to do in Sheki.Caravanserais along thje silk road provided a secure place to sleep for merchants passing through with their camels and donkeys.
  17:00 TASTING SHEKI HALVA The great food in Sheki was not restricted to the market and trying some of the local delicacies is one of the great things to do in Sheki. In the Caucasus it becomes difficult to keep track of all the great food experiences you will have, but Sheki Halva makes it high up the list</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</si>
  <si>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Old City tour starts from Shamakhi Gates followed by Old city below places (Photo stop)
  -Shamakhi Gates
  -Sculptures of Azim Azimzadeh
  -Caravanserai of Bukhara
  -Caravanserai of Multani
  -Maiden Tower
  -Bazar Square
  -Miniature Books Museum
  -Shirvanshahs Palace</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</si>
  <si>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Nizami Street in Baku is an absolute must-visit! The vibrant atmosphere, beautifully lit streets, and a mix of modern and historic architecture create an unforgettable experience. It is perfect for a leisurely stroll, shopping at high-end boutiques, or enjoying a meal at one of the many cafes and restaurants. The street truly comes alive in the evening, with its lively vibe and gorgeous lighting. Whether you are a tourist or a local, Nizami Street offers something for everyone.</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</si>
  <si>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Visit to Heydar Aliyev Center for PHOTO SHOOTING 
  &amp; “I LOVE BAKU-sign for PHOTOSTOP (entry to Vintage Car Museums)
  (If it is first time of your arrival to Baku, just be aware of 
  that from the bird view you can clearly see the Heydar 
  Aliyev-Signature on the Heydar Aliyev-Center design. 
  It is a wave-like building rises from a bed of concrete.
  Its immobile white walls look as though they have been 
  frozen mid-ripple. The abstract architecture is unlike anything 
  else in the capital city. The Heydar Aliyev Center, which was 
  designed by renowned architect Zaha Hadid.)</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</si>
  <si>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</si>
  <si>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Shopping Tour starts: Guests are free to choose any of below Shopping Malls: 
  Park Boulevard Mall
  Port Baku Mall 
  Ganjlik Mall
  Nargiz Mall
  Deniz Mall
  28th Mall
  Green Bazaar</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</si>
  <si>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</si>
  <si>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Gobustan National Park Museum followed by Gobustan Petroglyph Rock Art Cultural Landscape
  Rock paintings of Gobustan were first discovered in 1939 
  by archaeologist I. Jafarzade. On this territory there are 
  many traces of primitive inhabitance of people belong to
  the period of the Paleolithic and Mesolithic. Rock 
  engravings of Gobustan cover a long historical period 
  nearly 15,000 years. In the Gobustan can be found rock
  paintings created in the primitive epoch and up to the 
  Middle Ages, nowadays there are about 6,000 drawings. 
  The territory of Gobustan had favorable living conditions 
  in the Mesolithic, Neolithic and Bronze Age and was
  inhabited by hunters and fishermen. Petroglyphs of the
  Gobustan museum included to the UNESCO World Heritage List.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</si>
  <si>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 Nizami Street in Baku is an absolute must-visit!The vibrant atmosphere, beautifully lit streets, and a mix of modern and historic architecture create an unforgettable experience. It is perfect for a leisurely stroll, shopping at high-end boutiques, or enjoying a meal at one of the many cafes and restaurants. the Street truly comes alive in the evening, with its lively vibe and gorgeous lighting. Whether you are a tourist or a local, Nizami Street offers something for everyone.</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</si>
  <si>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 Visit to Heydar Aliyev Center for PHOTO SHOOTING 
  “I LOVE BAKU‚¬ sign for PHOTOSTOP (entry to Vintage Car Museums)
  (If it is first time of your arrival to Baku, just be aware of 
  that from the bird view you can clearly see the Heydar 
  Aliyev- Signature on the Heydar Aliyev Center design. 
  It is a wave-like building rises from a bed of concrete.
  Its immobile white walls look as though they have been 
  frozen mid-ripple. The abstract architecture is unlike anything 
  else in the capital city. The Heydar Aliyev Center, which was 
  designed by renowned architect Zaha Hadid.)</t>
  </si>
  <si>
    <t>Ateshgah - Fire Temple Tour (ENTRANCE)
  (Fire temple was firmly established by the time of the 
  Parthian Empire (247 BCE - 224 CE) and reached 
  their height of sophistication in the time of the 
  Sassanian Empire (224-651 CE). After the fall of 
  the Sassanians to the Muslim Arab Invasion of 651 CE, 
  fire temples were destroyed or converted into mosques.
  Zoroastrians are said to have kept some of the flames 
  from these temples burning in secret, however, and these were used to light the fires in later temples, notably those of the Parsees of India who preserved the Zoroastrian traditions and established fire temples later in that country. + A 10 m long wall of fire is never extinguishing. 
  It is burning continuously alongside the edge of the hill. 
  The scene is naturally is at its most spectacular at night. 
  The height of the flames changes, but in some moments
  it reach to 3 meters (9.8 ft) from the ground. Yanar Dag 
  is now a protected site and there are extensive archaeological studies are going on. Local lore states that it was a shepherd that accidentally ignited the fire in the 1950s by tossing a cigarette, and that it has burnt ever since.) + Shopping Tour starts: Guests are free to choose any of below Shopping Malls: 
  Park Boulevard Mall
  Port Baku Mall 
  Ganjlik Mall
  Nargiz Mall
  Deniz Mall
  28th Mall
  Green Bazaar</t>
  </si>
  <si>
    <t>Old City tour starts from Shamakhi Gates followed by Old city below places (Photo stop)
  -Shamakhi Gates
  -Sculptures of Azim Azimzadeh
  -Caravanserai of Bukhara
  -Caravanserai of Multani
  -Maiden Tower
  -Bazar Square
  -Miniature Books Museum
  -Shirvanshahs Palace + Nizami Street in Baku is an absolute must-visit! The vibrant atmosphere, beautifully lit streets, and a mix of modern and historic architecture create an unforgettable experience. It is perfect for a leisurely stroll, shopping at high-end boutiques, or enjoying a meal at one of the many cafes and restaurants. The street truly comes alive in the evening, with its lively vibe and gorgeous lighting. Whether you are a tourist or a local, Nizami Street offers something for everyone.</t>
  </si>
  <si>
    <t>Old City tour starts from Shamakhi Gates followed by Old city below places (Photo stop)
  -Shamakhi Gates
  -Sculptures of Azim Azimzadeh
  -Caravanserai of Bukhara
  -Caravanserai of Multani
  -Maiden Tower
  -Bazar Square
  -Miniature Books Museum
  -Shirvanshahs Palace</t>
  </si>
  <si>
    <t>Old City tour starts from Shamakhi Gates followed by Old city below places (Photo stop)
  -Shamakhi Gates
  -Sculptures of Azim Azimzadeh
  -Caravanserai of Bukhara
  -Caravanserai of Multani
  -Maiden Tower
  -Bazar Square
  -Miniature Books Museum
  -Shirvanshahs Palace + 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t>
  </si>
  <si>
    <t>Old City tour starts from Shamakhi Gates followed by Old city below places (Photo stop)
  -Shamakhi Gates
  -Sculptures of Azim Azimzadeh
  -Caravanserai of Bukhara
  -Caravanserai of Multani
  -Maiden Tower
  -Bazar Square
  -Miniature Books Museum
  -Shirvanshah Palace + Visit to Heydar Aliyev Center for PHOTO SHOOTING 
  &amp; “I LOVE BAKUsign for PHOTOSTOP (entry to Vintage Car Museums)
  (If it is first time of your arrival to Baku, just be aware of 
  that from the bird view you can clearly see the Heydar 
  Aliyev Signature on the Heydar Aliyev Center design. 
  It is a wave-like building rises from a bed of concrete.
  Its immobile white walls look as though they have been 
  frozen mid-ripple. The abstract architecture is unlike anything 
  else in the capital city. The Heydar Aliyev Center, which was 
  designed by renowned architect Zaha Hadid.)</t>
  </si>
  <si>
    <t>Old City tour starts from Shamakhi Gates followed by Old city below places (Photo stop)
  -Shamakhi Gates
  -Sculptures of Azim Azimzadeh
  -Caravanserai of Bukhara
  -Caravanserai of Multani
  -Maiden Tower
  -Bazar Square
  -Miniature Books Museum
  -Shirvanshahs Palace + Shopping Tour starts: Guests are free to choose any of below Shopping Malls: 
  Park Boulevard Mall
  Port Baku Mall 
  Ganjlik Mall
  Nargiz Mall
  Deniz Mall
  28th Mall
  Green Bazaar</t>
  </si>
  <si>
    <t>Old City tour starts from Shamakhi Gates followed by Old city below places (Photo stop)
  -Shamakhi Gates
  -Sculptures of Azim Azimzadeh
  -Caravanserai of Bukhara
  -Caravanserai of Multani
  -Maiden Tower
  -Bazar Square
  -Miniature Books Museum
  -Shirvanshahs Palace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</si>
  <si>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Old City tour starts from Shamakhi Gates followed by Old city below places (Photo stop)
  -Shamakhi Gates
  -Sculptures of Azim Azimzadeh
  -Caravanserai of Bukhara
  -Caravanserai of Multani
  -Maiden Tower
  -Bazar Square
  -Miniature Books Museum
  -Shirvanshahs Palace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</si>
  <si>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Old City tour starts from Shamakhi Gates followed by Old city below places (Photo stop)
  -Shamakhi Gates
  -Sculptures of Azim Azimzadeh
  -Caravanserai of Bukhara
  -Caravanserai of Multani
  -Maiden Tower
  -Bazar Square
  -Miniature Books Museum
  -Shirvanshahs Palace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</si>
  <si>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Old City tour starts from Shamakhi Gates followed by Old city below places (Photo stop)
  -Shamakhi Gates
  -Sculptures of Azim Azimzadeh 
  -Caravanserai of Bukhara
  -Caravanserai of Multani
  -Maiden Tower
  -Bazar Square
  -Miniature Books Museum
  -Shirvanshahs Palace</t>
  </si>
  <si>
    <t>Nizami Street in Baku is an absolute must-visit! The vibrant atmosphere, beautifully lit streets, and a mix of modern and historic architecture create an unforgettable experience. It is perfect for a leisurely stroll, shopping at high-end boutiques, or enjoying a meal at one of the many cafes and restaurants. The street truly comes alive in the evening, with its lively vibe and gorgeous lighting. Whether you are a tourist or a local, Nizami Street offers something for everyone.</t>
  </si>
  <si>
    <t>Nizami Street in Baku is an absolute must-visit! The vibrant atmosphere, beautifully lit streets, and a mix of modern and historic architecture create an unforgettable experience. It is perfect for a leisurely stroll, shopping at high-end boutiques, or enjoying a meal at one of the many cafes and restaurants. The street truly comes alive in the evening, with its lively vibe and gorgeous lighting. Whether you are a tourist or a local, Nizami Street offers something for everyone. + 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t>
  </si>
  <si>
    <t>Nizami Street in Baku is an absolute must-visit! The vibrant atmosphere, beautifully lit streets, and a mix of modern and historic architecture create an unforgettable experience. It is perfect for a leisurely stroll, shopping at high-end boutiques, or enjoying a meal at one of the many cafes and restaurants. The street truly comes alive in the evening, with its lively vibe and gorgeous lighting. Whether you are a tourist or a local, Nizami Street offers something for everyone. + Visit to Heydar Aliyev Center for PHOTO SHOOTING 
  &amp; I LOVE BAKU sign for PHOTOSTOP (entry to Vintage Car Museums)
  (If it is first time of your arrival to Baku, just be aware of 
  that from the bird view you can clearly see the Heydar 
  Aliyev Signature on the Heydar Aliyev Center design. 
  It is a wave-like building rises from a bed of concrete.
  Its immobile white walls look as though they have been 
  frozen mid-ripple. The abstract architecture is unlike anything 
  else in the capital city. The Heydar Aliyev Center, which was 
  designed by renowned architect Zaha Hadid.)</t>
  </si>
  <si>
    <t>Nizami Street in Baku is an absolute must-visit! The vibrant atmosphere, beautifully lit streets, and a mix of modern and historic architecture create an unforgettable experience. It is perfect for a leisurely stroll, shopping at high-end boutiques, or enjoying a meal at one of the many cafes and restaurants. The street truly comes alive in the evening, with its lively vibe and gorgeous lighting. Whether you are a tourist or a local, Nizami Street offers something for everyone. + Shopping Tour starts: Guests are free to choose any of below Shopping Malls: 
  Park Boulevard Mall
  Port Baku Mall 
  Ganjlik Mall
  Nargiz Mall
  Deniz Mall
  28th Mall
  Green Bazaar</t>
  </si>
  <si>
    <t>Nizami Street in Baku is an absolute must-visit! The vibrant atmosphere, beautifully lit streets, and a mix of modern and historic architecture create an unforgettable experience. It is perfect for a leisurely stroll, shopping at high-end boutiques, or enjoying a meal at one of the many cafes and restaurants. The street truly comes alive in the evening, with its lively vibe and gorgeous lighting. Whether you are a tourist or a local, Nizami Street offers something for everyone.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</si>
  <si>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Nizami Street in Baku is an absolute must-visit! The vibrant atmosphere, beautifully lit streets, and a mix of modern and historic architecture create an unforgettable experience. ItÃ¢â‚¬â„¢s perfect for a leisurely stroll, shopping at high-end boutiques, or enjoying a meal at one of the many cafes and restaurants. The street truly comes alive in the evening, with its lively vibe and gorgeous lighting. Whether youÃ¢â‚¬â„¢re a tourist or a local, Nizami Street offers something for everyone.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</si>
  <si>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Nizami Street in Baku is an absolute must-visit! The vibrant atmosphere, beautifully lit streets, and a mix of modern and historic architecture create an unforgettable experience. ItÃ¢â‚¬â„¢s perfect for a leisurely stroll, shopping at high-end boutiques, or enjoying a meal at one of the many cafes and restaurants. The street truly comes alive in the evening, with its lively vibe and gorgeous lighting. Whether youÃ¢â‚¬â„¢re a tourist or a local, Nizami Street offers something for everyone.</t>
  </si>
  <si>
    <t>Walking tour starts along the Baku Boulevard followed by: -Mini Venice of Baku
  -Carpet Museum -Deniz Mall 
  -Ferries Wheel ride 
  -Carpet Museums
  -Boat cruise 
  -Cristal Hall
  -Biking Area + Visit to Heydar Aliyev Center for PHOTO SHOOTING 
  &amp; Ã¢â‚¬Å“I LOVE BAKUÃ¢â‚¬Â sign for PHOTOSTOP (entry to Vintage Car Museums)
  (If itÃ¢â‚¬â„¢s first time of your arrival to Baku, just be aware of 
  that from the bird view you can clearly see the Heydar 
  AliyevÃ¢â‚¬â„¢s Signature on the Heydar AliyevÃ¢â‚¬â„¢s Center design. 
  ItÃ¢â‚¬â„¢s a wave-like building rises from a bed of concrete.
  Its immobile white walls look as though they have been 
  frozen mid-ripple. The abstract architecture is unlike anything 
  else in the capital city. The Heydar Aliyev Center, which was 
  designed by renowned architect Zaha Hadid.)</t>
  </si>
  <si>
    <t>Walking tour starts along the Baku Boulevard followed by: -Mini Venice of Baku
  -Carpet Museum -Deniz Mall 
  -Ferries Wheel ride 
  -Carpet Museums
  -Boat cruise 
  -Cristal Hall
  -Biking Area + Shopping Tour starts: Guests are free to choose any of below Shopping Malls: 
  Park Boulevard Mall
  Port Baku Mall 
  Ganjlik Mall
  Nargiz Mall
  Deniz Mall
  28th Mall
  Green Bazaar</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</si>
  <si>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 Visit to Heydar Aliyev Center for PHOTO SHOOTING 
  &amp; “I LOVE BAKU sign for PHOTOSTOP (entry to Vintage Car Museums)
  (If it is first time of your arrival to Baku, just be aware of 
  that from the bird view you can clearly see the Heydar 
  Aliyev Signature on the Heydar Aliyev Center design. 
  It is a wave-like building rises from a bed of concrete.
  Its immobile white walls look as though they have been 
  frozen mid-ripple. The abstract architecture is unlike anything 
  else in the capital city. The Heydar Aliyev Center, which was 
  designed by renowned architect Zaha Hadid.)</t>
  </si>
  <si>
    <t>Panoramic City Tour starts with panoramic full evening city view of Baku followed by:
  -Highland Park (Which is the highest point in the Azerbaijani capital, 
  opening a panoramic view of the city and its bay. The city's residents
  and visitors often come here to see a bird's eye view of Baku, and 
  just have a walk. The Upland Park can be reached by cable railway 
  (funicular) in 7-8 minutes from the boulevard or by climbing up the
  endless stone stairs.)
  -Flame Towers (The city's tallest building. The height of 182 m. 
  Flame Towers - consisting of three high-rise buildings in the complex.) + Shopping Tour starts: Guests are free to choose any of below Shopping Malls: 
  Park Boulevard Mall
  Port Baku Mall 
  Ganjlik Mall
  Nargiz Mall
  Deniz Mall
  28th Mall
  Green Bazaar</t>
  </si>
  <si>
    <t>Visit to Heydar Aliyev Center for PHOTO SHOOTING 
  &amp; “I LOVE BAKUsign for PHOTOSTOP (entry to Vintage Car Museums)
  (If it is first time of your arrival to Baku, just be aware of 
  that from the bird view you can clearly see the Heydar 
  Aliyev Signature on the Heydar Aliyev Center design. 
  It is a wave-like building rises from a bed of concrete.
  Its immobile white walls look as though they have been 
  frozen mid-ripple. The abstract architecture is unlike anything 
  else in the capital city. The Heydar Aliyev Center, which was 
  designed by renowned architect Zaha Hadid.)</t>
  </si>
  <si>
    <t>Visit to Heydar Aliyev Center for PHOTO SHOOTING 
  &amp; “I LOVE BAKUsign for PHOTOSTOP (entry to Vintage Car Museums)
  (If it is first time of your arrival to Baku, just be aware of 
  that from the bird view you can clearly see the Heydar 
  Aliyev Signature on the Heydar Aliyev Center design. 
  It is a wave-like building rises from a bed of concrete.
  Its immobile white walls look as though they have been 
  frozen mid-ripple. The abstract architecture is unlike anything 
  else in the capital city. The Heydar Aliyev Center, which was 
  designed by renowned architect Zaha Hadid.) + Shopping Tour starts: Guests are free to choose any of below Shopping Malls: 
  Park Boulevard Mall
  Port Baku Mall 
  Ganjlik Mall
  Nargiz Mall
  Deniz Mall
  28th Mall
  Green Bazaar</t>
  </si>
  <si>
    <t>Visit to Heydar Aliyev Center for PHOTO SHOOTING 
  &amp; “I LOVE BAKU sign for PHOTOSTOP (entry to Vintage Car Museums)
  (If it is first time of your arrival to Baku, just be aware of 
  that from the bird view you can clearly see the Heydar 
  AliyevSignature on the Heydar Aliyev Center design. 
  It is a wave-like building rises from a bed of concrete.
  Its immobile white walls look as though they have been 
  frozen mid-ripple. The abstract architecture is unlike anything 
  else in the capital city. The Heydar Aliyev Center, which was 
  designed by renowned architect Zaha Hadid.) + Fountain Square walking tour (The square is a public gathering place, especially after business hours and during the weekend. It is an attractive tourist destination with many boutiques, restaurants, shops, hotels and passage. This is one of the most crowd and lively places in the city.)</t>
  </si>
  <si>
    <t>Visit to Heydar Aliyev Center for PHOTO SHOOTING 
  &amp; “I LOVE BAKU sign for PHOTOSTOP (entry to Vintage Car Museums)
  (If it is first time of your arrival to Baku, just be aware of 
  that from the bird view you can clearly see the Heydar 
  Aliyev Signature on the Heydar Aliyev Center design. 
  It is a wave-like building rises from a bed of concrete.
  Its immobile white walls look as though they have been 
  frozen mid-ripple. The abstract architecture is unlike anything 
  else in the capital city. The Heydar Aliyev Center, which was 
  designed by renowned architect Zaha Hadid.)</t>
  </si>
  <si>
    <t>Visit to Heydar Aliyev Center for PHOTO SHOOTING 
  &amp; “I LOVE BAKU sign for PHOTOSTOP (entry to Vintage Car Museums)
  (If it is first time of your arrival to Baku, just be aware of 
  that from the bird view you can clearly see the Heydar 
  Aliyev Signature on the Heydar AliyevCenter design. 
  It is a wave-like building rises from a bed of concrete.
  Its immobile white walls look as though they have been 
  frozen mid-ripple. The abstract architecture is unlike anything 
  else in the capital city. The Heydar Aliyev Center, which was 
  designed by renowned architect Zaha Hadid.) +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</si>
  <si>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Shopping Tour starts: Guests are free to choose any of below Shopping Malls: 
  Park Boulevard Mall
  Port Baku Mall 
  Ganjlik Mall
  Nargiz Mall
  Deniz Mall
  28th Mall
 Green Bazaar</t>
  </si>
  <si>
    <t>Shopping Tour starts: Guests are free to choose any of below Shopping Malls: 
  Park Boulevard Mall
  Port Baku Mall 
  Ganjlik Mall
  Nargiz Mall
  Deniz Mall
  28th Mall
 Green Bazaar + Shooting starts with Baku shooting center. Riffle shooting 10 bullets PP (ENTRANCE) 
  At Baku Shooting Center, which is one of Europe's 
  largest shooting complexes, you can practice your 
  shooting skills, learn how to hit the bull's eye while 
  having a blast. With a modern bright interior, the center
  hosts many competitions and training both in indoor and
  outdoor shooting ranges.</t>
  </si>
  <si>
    <t>Shopping Tour starts: Guests are free to choose any of below Shopping Malls: 
  Park Boulevard Mall
  Port Baku Mall 
  Ganjlik Mall
  Nargiz Mall
  Deniz Mall
  28th Mall
  Green Bazaar +Having a real and safe racing experience regardless of the 
  weather conditions are possible with Deniz Karting's two 
  indoor racing tracks. The 2-story 460 m long racing tracks 
  for adults and the 101 m long racing tracks for children are 
  ready to give you the experience. Get ready to enjoy the
  unique views of Baku while you race.</t>
  </si>
  <si>
    <t>Shopping Tour starts: Guests are free to choose any of below Shopping Malls: 
  Park Boulevard Mall
  Port Baku Mall 
  Ganjlik Mall
  Nargiz Mall
  Deniz Mall
  28th Mall
  Green Bazaar</t>
  </si>
  <si>
    <t>Nizami Street in Baku is an absolute must-visit! The vibrant atmosphere, beautifully lit streets, and a mix of modern and historic architecture create an unforgettable experience. It is perfect for a leisurely stroll, shopping at high-end boutiques, or enjoying a meal at one of the many cafes and restaurants. The street truly comes alive in the evening, with its lively vibe and gorgeous lighting. Whether you are a tourist or a local, Nizami Street offers something for everyone.Old City tour starts from Shamakhi Gates followed by Old city below places (Photo stop) -Shamakhi Gates -Sculptures of Azim Azimzadeh -Caravanserai of Bukhara -Caravanserai of Multani -Maiden Tower -Bazar Square -Miniature Books Museum -Shirvanshahs Palace + Walking tour starts along the Baku Boulevard followed by: -Mini Venice of Baku
  -Carpet Museum -Deniz Mall 
  -Ferries Wheel ride 
  -Carpet Museums
  -Boat cruise 
  -Cristal Hall
  -Biking Area+ Visit to Heydar Aliyev Center for PHOTO SHOOTING 
  &amp; “I LOVE BAKU' sign for PHOTOSTOP
  (If it is first time of your arrival to Baku, just be aware of 
  that from the bird view you can clearly see the Heydar 
  Aliyev Signature on the Heydar Aliyev Center design. 
  It is a wave-like building rises from a bed of concrete.
  Its immobile white walls look as though they have been 
  frozen mid-ripple. The abstract architecture is unlike anything 
  else in the capital city. The Heydar Aliyev Center, which was 
  designed by renowned architect Zaha Hadid.)</t>
  </si>
  <si>
    <t>Nizami Street in Baku is an absolute must-visit! The vibrant atmosphere, beautifully lit streets, and a mix of modern and historic architecture create an unforgettable experience. It is perfect for a leisurely stroll, shopping at high-end boutiques, or enjoying a meal at one of the many cafes and restaurants. The street truly comes alive in the evening, with its lively vibe and gorgeous lighting. Whether you are a tourist or a local, Nizami Street offers something for everyone.Old City tour starts from Shamakhi Gates followed by Old city below places (Photo stop) -Shamakhi Gates -Sculptures of Azim Azimzadeh is -Caravanserai of Bukhara -Caravanserai of Multani -Maiden Tower -Bazar Square -Miniature Books Museum -Shirvanshahs Palace + Walking tour starts along the Baku Boulevard followed by: -Mini Venice of Baku
  -Carpet Museum -Deniz Mall 
  -Ferries Wheel ride 
  -Carpet Museums
  -Boat cruise 
  -Cristal Hall
  -Biking Area</t>
  </si>
  <si>
    <t>1 Day Vehicle on Disposal</t>
  </si>
  <si>
    <t>Full Day Vehicle at Disposal</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</si>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</sst>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font>
      <sz val="10"/>
      <color rgb="FF000000"/>
      <name val="Arial"/>
      <scheme val="minor"/>
    </font>
    <font>
      <b/>
      <sz val="10"/>
      <color rgb="FF000000"/>
      <name val="Calibri"/>
      <family val="2"/>
    </font>
    <font>
      <sz val="10"/>
      <name val="Arial"/>
      <family val="2"/>
    </font>
    <font>
      <sz val="10"/>
      <color theme="1"/>
      <name val="Calibri"/>
      <family val="2"/>
    </font>
    <font>
      <sz val="11"/>
      <color rgb="FF000000"/>
      <name val="Calibri"/>
      <family val="2"/>
    </font>
    <font>
      <sz val="10"/>
      <color rgb="FF000000"/>
      <name val="Calibri"/>
      <family val="2"/>
    </font>
    <font>
      <sz val="10"/>
      <color rgb="FF000000"/>
      <name val="Arial"/>
      <family val="2"/>
    </font>
    <font>
      <sz val="11"/>
      <color theme="1"/>
      <name val="Calibri"/>
      <family val="2"/>
    </font>
    <font>
      <b/>
      <sz val="10"/>
      <color rgb="FF000000"/>
      <name val="Oi"/>
    </font>
    <font>
      <b/>
      <sz val="10"/>
      <color rgb="FF000000"/>
      <name val="Arial"/>
      <family val="2"/>
    </font>
    <font>
      <sz val="10"/>
      <color rgb="FF000000"/>
      <name val="Oi"/>
    </font>
    <font>
      <sz val="10"/>
      <color theme="1"/>
      <name val="Arial"/>
      <family val="2"/>
    </font>
    <font>
      <b/>
      <sz val="10"/>
      <color rgb="FF002060"/>
      <name val="Calibri"/>
      <family val="2"/>
    </font>
    <font>
      <sz val="10"/>
      <color theme="1"/>
      <name val="Calibri"/>
      <family val="2"/>
    </font>
    <font>
      <b/>
      <sz val="11"/>
      <color rgb="FF000000"/>
      <name val="Calibri"/>
      <family val="2"/>
    </font>
    <font>
      <sz val="10"/>
      <color rgb="FF002060"/>
      <name val="Calibri"/>
      <family val="2"/>
    </font>
  </fonts>
  <fills count="4">
    <fill>
      <patternFill patternType="none"/>
    </fill>
    <fill>
      <patternFill patternType="gray125"/>
    </fill>
    <fill>
      <patternFill patternType="solid">
        <fgColor rgb="FF00FF00"/>
        <bgColor rgb="FF00FF00"/>
      </patternFill>
    </fill>
    <fill>
      <patternFill patternType="solid">
        <fgColor rgb="FFFFFFFF"/>
        <bgColor rgb="FFFFFFFF"/>
      </patternFill>
    </fill>
  </fills>
  <borders count="8">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81">
    <xf numFmtId="0" fontId="0" fillId="0" borderId="0" xfId="0" applyFont="1" applyAlignment="1"/>
    <xf numFmtId="0" fontId="3" fillId="0" borderId="0" xfId="0" applyFont="1"/>
    <xf numFmtId="0" fontId="1" fillId="2" borderId="6" xfId="0" applyFont="1" applyFill="1" applyBorder="1" applyAlignment="1">
      <alignment vertical="center"/>
    </xf>
    <xf numFmtId="0" fontId="4" fillId="2" borderId="6" xfId="0" applyFont="1" applyFill="1" applyBorder="1"/>
    <xf numFmtId="0" fontId="5" fillId="0" borderId="0" xfId="0" applyFont="1" applyAlignment="1">
      <alignment horizontal="left" vertical="center"/>
    </xf>
    <xf numFmtId="0" fontId="1" fillId="3" borderId="6" xfId="0" applyFont="1" applyFill="1" applyBorder="1" applyAlignment="1">
      <alignment horizontal="center" vertical="center"/>
    </xf>
    <xf numFmtId="0" fontId="5" fillId="3" borderId="6" xfId="0" applyFont="1" applyFill="1" applyBorder="1" applyAlignment="1">
      <alignment horizontal="center" vertical="center" wrapText="1"/>
    </xf>
    <xf numFmtId="0" fontId="5" fillId="0" borderId="0" xfId="0" applyFont="1" applyAlignment="1">
      <alignment horizontal="center" vertical="center"/>
    </xf>
    <xf numFmtId="0" fontId="5" fillId="0" borderId="0" xfId="0" applyFont="1" applyAlignment="1">
      <alignment horizontal="left" vertical="center" wrapText="1"/>
    </xf>
    <xf numFmtId="0" fontId="5" fillId="2" borderId="6" xfId="0" applyFont="1" applyFill="1" applyBorder="1" applyAlignment="1">
      <alignment vertical="center"/>
    </xf>
    <xf numFmtId="0" fontId="4" fillId="0" borderId="0" xfId="0" applyFont="1"/>
    <xf numFmtId="0" fontId="6" fillId="0" borderId="0" xfId="0" applyFont="1"/>
    <xf numFmtId="0" fontId="4" fillId="0" borderId="0" xfId="0" applyFont="1" applyAlignment="1"/>
    <xf numFmtId="1" fontId="4" fillId="0" borderId="0" xfId="0" applyNumberFormat="1" applyFont="1"/>
    <xf numFmtId="0" fontId="4" fillId="0" borderId="0" xfId="0" applyFont="1" applyAlignment="1"/>
    <xf numFmtId="0" fontId="4" fillId="0" borderId="0" xfId="0" applyFont="1" applyAlignment="1"/>
    <xf numFmtId="0" fontId="7" fillId="0" borderId="0" xfId="0" applyFont="1" applyAlignment="1"/>
    <xf numFmtId="0" fontId="5" fillId="0" borderId="0" xfId="0" applyFont="1" applyAlignment="1">
      <alignment wrapText="1"/>
    </xf>
    <xf numFmtId="0" fontId="5" fillId="0" borderId="0" xfId="0" applyFont="1" applyAlignment="1">
      <alignment vertical="center"/>
    </xf>
    <xf numFmtId="0" fontId="3" fillId="0" borderId="0" xfId="0" applyFont="1" applyAlignment="1"/>
    <xf numFmtId="0" fontId="4" fillId="0" borderId="0" xfId="0" applyFont="1" applyAlignment="1">
      <alignment wrapText="1"/>
    </xf>
    <xf numFmtId="0" fontId="5" fillId="0" borderId="0" xfId="0" applyFont="1" applyAlignment="1">
      <alignment wrapText="1"/>
    </xf>
    <xf numFmtId="0" fontId="9" fillId="2" borderId="6" xfId="0" applyFont="1" applyFill="1" applyBorder="1" applyAlignment="1">
      <alignment horizontal="center" vertical="center"/>
    </xf>
    <xf numFmtId="0" fontId="10" fillId="0" borderId="0" xfId="0" applyFont="1" applyAlignment="1">
      <alignment horizontal="left" vertical="center"/>
    </xf>
    <xf numFmtId="0" fontId="8" fillId="3" borderId="6" xfId="0" applyFont="1" applyFill="1" applyBorder="1" applyAlignment="1">
      <alignment horizontal="center" vertical="center"/>
    </xf>
    <xf numFmtId="0" fontId="10" fillId="3" borderId="6" xfId="0" applyFont="1" applyFill="1" applyBorder="1" applyAlignment="1">
      <alignment horizontal="center" vertical="center" wrapText="1"/>
    </xf>
    <xf numFmtId="0" fontId="10" fillId="0" borderId="0" xfId="0" applyFont="1" applyAlignment="1">
      <alignment horizontal="center" vertical="center"/>
    </xf>
    <xf numFmtId="0" fontId="6" fillId="2" borderId="6" xfId="0" applyFont="1" applyFill="1" applyBorder="1" applyAlignment="1">
      <alignment horizontal="center" vertical="center"/>
    </xf>
    <xf numFmtId="0" fontId="10" fillId="3" borderId="6" xfId="0" applyFont="1" applyFill="1" applyBorder="1" applyAlignment="1">
      <alignment horizontal="center" vertical="center"/>
    </xf>
    <xf numFmtId="0" fontId="10" fillId="3" borderId="6" xfId="0" applyFont="1" applyFill="1" applyBorder="1" applyAlignment="1">
      <alignment horizontal="left" vertical="center"/>
    </xf>
    <xf numFmtId="1" fontId="3" fillId="2" borderId="6" xfId="0" applyNumberFormat="1" applyFont="1" applyFill="1" applyBorder="1" applyAlignment="1">
      <alignment horizontal="center"/>
    </xf>
    <xf numFmtId="0" fontId="6" fillId="2" borderId="6" xfId="0" applyFont="1" applyFill="1" applyBorder="1" applyAlignment="1">
      <alignment horizontal="center"/>
    </xf>
    <xf numFmtId="1" fontId="11" fillId="2" borderId="6" xfId="0" applyNumberFormat="1" applyFont="1" applyFill="1" applyBorder="1" applyAlignment="1">
      <alignment horizontal="center" wrapText="1"/>
    </xf>
    <xf numFmtId="0" fontId="11" fillId="2" borderId="6" xfId="0" applyFont="1" applyFill="1" applyBorder="1" applyAlignment="1">
      <alignment horizontal="center"/>
    </xf>
    <xf numFmtId="1" fontId="11" fillId="2" borderId="6" xfId="0" applyNumberFormat="1" applyFont="1" applyFill="1" applyBorder="1" applyAlignment="1">
      <alignment horizontal="center"/>
    </xf>
    <xf numFmtId="1" fontId="11" fillId="2" borderId="6" xfId="0" applyNumberFormat="1" applyFont="1" applyFill="1" applyBorder="1"/>
    <xf numFmtId="0" fontId="11" fillId="2" borderId="6" xfId="0" applyFont="1" applyFill="1" applyBorder="1" applyAlignment="1">
      <alignment horizontal="center" wrapText="1"/>
    </xf>
    <xf numFmtId="1" fontId="6" fillId="2" borderId="6" xfId="0" applyNumberFormat="1" applyFont="1" applyFill="1" applyBorder="1" applyAlignment="1">
      <alignment horizontal="center" wrapText="1"/>
    </xf>
    <xf numFmtId="0" fontId="6" fillId="2" borderId="6" xfId="0" applyFont="1" applyFill="1" applyBorder="1" applyAlignment="1">
      <alignment horizontal="center" wrapText="1"/>
    </xf>
    <xf numFmtId="0" fontId="10" fillId="2" borderId="6" xfId="0" applyFont="1" applyFill="1" applyBorder="1" applyAlignment="1">
      <alignment horizontal="center" wrapText="1"/>
    </xf>
    <xf numFmtId="0" fontId="10" fillId="2" borderId="6" xfId="0" applyFont="1" applyFill="1" applyBorder="1" applyAlignment="1">
      <alignment horizontal="center"/>
    </xf>
    <xf numFmtId="0" fontId="11" fillId="2" borderId="6" xfId="0" applyFont="1" applyFill="1" applyBorder="1"/>
    <xf numFmtId="0" fontId="12" fillId="3" borderId="6" xfId="0" applyFont="1" applyFill="1" applyBorder="1" applyAlignment="1">
      <alignment horizontal="center"/>
    </xf>
    <xf numFmtId="0" fontId="12" fillId="3" borderId="6" xfId="0" applyFont="1" applyFill="1" applyBorder="1" applyAlignment="1">
      <alignment horizontal="center" wrapText="1"/>
    </xf>
    <xf numFmtId="0" fontId="4" fillId="2" borderId="6" xfId="0" applyFont="1" applyFill="1" applyBorder="1" applyAlignment="1">
      <alignment horizontal="right"/>
    </xf>
    <xf numFmtId="0" fontId="10" fillId="3" borderId="6" xfId="0" applyFont="1" applyFill="1" applyBorder="1" applyAlignment="1">
      <alignment horizontal="left" vertical="center" wrapText="1"/>
    </xf>
    <xf numFmtId="1" fontId="4" fillId="2" borderId="6" xfId="0" applyNumberFormat="1" applyFont="1" applyFill="1" applyBorder="1" applyAlignment="1">
      <alignment horizontal="right"/>
    </xf>
    <xf numFmtId="1" fontId="4" fillId="2" borderId="6" xfId="0" applyNumberFormat="1" applyFont="1" applyFill="1" applyBorder="1"/>
    <xf numFmtId="0" fontId="6" fillId="2" borderId="6" xfId="0" applyFont="1" applyFill="1" applyBorder="1" applyAlignment="1">
      <alignment horizontal="right" vertical="center"/>
    </xf>
    <xf numFmtId="0" fontId="1" fillId="2" borderId="6" xfId="0" applyFont="1" applyFill="1" applyBorder="1" applyAlignment="1">
      <alignment horizontal="center" vertical="center"/>
    </xf>
    <xf numFmtId="0" fontId="13" fillId="0" borderId="0" xfId="0" applyFont="1"/>
    <xf numFmtId="0" fontId="5" fillId="2" borderId="6" xfId="0" applyFont="1" applyFill="1" applyBorder="1" applyAlignment="1">
      <alignment horizontal="center" vertical="center"/>
    </xf>
    <xf numFmtId="0" fontId="5" fillId="3" borderId="6" xfId="0" applyFont="1" applyFill="1" applyBorder="1" applyAlignment="1">
      <alignment horizontal="center" vertical="center"/>
    </xf>
    <xf numFmtId="0" fontId="5" fillId="3" borderId="6" xfId="0" applyFont="1" applyFill="1" applyBorder="1" applyAlignment="1">
      <alignment horizontal="left" vertical="center"/>
    </xf>
    <xf numFmtId="0" fontId="5" fillId="2" borderId="6" xfId="0" applyFont="1" applyFill="1" applyBorder="1" applyAlignment="1">
      <alignment horizontal="center"/>
    </xf>
    <xf numFmtId="0" fontId="14" fillId="3" borderId="6" xfId="0" applyFont="1" applyFill="1" applyBorder="1" applyAlignment="1">
      <alignment horizontal="center" vertical="center" wrapText="1"/>
    </xf>
    <xf numFmtId="0" fontId="15" fillId="2" borderId="6" xfId="0" applyFont="1" applyFill="1" applyBorder="1" applyAlignment="1">
      <alignment horizontal="center" wrapText="1"/>
    </xf>
    <xf numFmtId="1" fontId="15" fillId="2" borderId="6" xfId="0" applyNumberFormat="1" applyFont="1" applyFill="1" applyBorder="1" applyAlignment="1">
      <alignment horizontal="center" wrapText="1"/>
    </xf>
    <xf numFmtId="0" fontId="3" fillId="2" borderId="6" xfId="0" applyFont="1" applyFill="1" applyBorder="1" applyAlignment="1">
      <alignment horizontal="center"/>
    </xf>
    <xf numFmtId="0" fontId="3" fillId="2" borderId="6" xfId="0" applyFont="1" applyFill="1" applyBorder="1" applyAlignment="1">
      <alignment horizontal="center" wrapText="1"/>
    </xf>
    <xf numFmtId="1" fontId="3" fillId="2" borderId="6" xfId="0" applyNumberFormat="1" applyFont="1" applyFill="1" applyBorder="1" applyAlignment="1">
      <alignment horizontal="center" wrapText="1"/>
    </xf>
    <xf numFmtId="1" fontId="3" fillId="2" borderId="6" xfId="0" applyNumberFormat="1" applyFont="1" applyFill="1" applyBorder="1"/>
    <xf numFmtId="1" fontId="5" fillId="2" borderId="6" xfId="0" applyNumberFormat="1" applyFont="1" applyFill="1" applyBorder="1" applyAlignment="1">
      <alignment horizontal="center" wrapText="1"/>
    </xf>
    <xf numFmtId="0" fontId="5" fillId="2" borderId="6" xfId="0" applyFont="1" applyFill="1" applyBorder="1" applyAlignment="1">
      <alignment horizontal="center" wrapText="1"/>
    </xf>
    <xf numFmtId="0" fontId="3" fillId="2" borderId="6" xfId="0" applyFont="1" applyFill="1" applyBorder="1"/>
    <xf numFmtId="1" fontId="4" fillId="0" borderId="0" xfId="0" applyNumberFormat="1" applyFont="1" applyAlignment="1">
      <alignment horizontal="right"/>
    </xf>
    <xf numFmtId="0" fontId="4" fillId="0" borderId="0" xfId="0" applyFont="1" applyAlignment="1">
      <alignment horizontal="right"/>
    </xf>
    <xf numFmtId="0" fontId="4" fillId="0" borderId="0" xfId="0" applyFont="1"/>
    <xf numFmtId="0" fontId="1" fillId="2" borderId="1" xfId="0" applyFont="1" applyFill="1" applyBorder="1" applyAlignment="1">
      <alignment horizontal="center" vertical="center"/>
    </xf>
    <xf numFmtId="0" fontId="2" fillId="0" borderId="5" xfId="0" applyFont="1" applyBorder="1"/>
    <xf numFmtId="0" fontId="2" fillId="0" borderId="7" xfId="0" applyFont="1" applyBorder="1"/>
    <xf numFmtId="0" fontId="1" fillId="2" borderId="1" xfId="0" applyFont="1" applyFill="1" applyBorder="1" applyAlignment="1">
      <alignment horizontal="center" vertical="center" wrapText="1"/>
    </xf>
    <xf numFmtId="0" fontId="4" fillId="0" borderId="0" xfId="0" applyFont="1"/>
    <xf numFmtId="0" fontId="0" fillId="0" borderId="0" xfId="0" applyFont="1" applyAlignment="1"/>
    <xf numFmtId="0" fontId="1" fillId="2" borderId="2" xfId="0" applyFont="1" applyFill="1" applyBorder="1" applyAlignment="1">
      <alignment horizontal="center" vertical="center"/>
    </xf>
    <xf numFmtId="0" fontId="2" fillId="0" borderId="3" xfId="0" applyFont="1" applyBorder="1"/>
    <xf numFmtId="0" fontId="2" fillId="0" borderId="4" xfId="0" applyFont="1" applyBorder="1"/>
    <xf numFmtId="0" fontId="1" fillId="2" borderId="2" xfId="0" applyFont="1" applyFill="1" applyBorder="1" applyAlignment="1">
      <alignment vertical="center"/>
    </xf>
    <xf numFmtId="0" fontId="8" fillId="2" borderId="1" xfId="0" applyFont="1" applyFill="1" applyBorder="1" applyAlignment="1">
      <alignment horizontal="center" vertical="center"/>
    </xf>
    <xf numFmtId="0" fontId="9" fillId="2" borderId="2" xfId="0" applyFont="1" applyFill="1" applyBorder="1" applyAlignment="1">
      <alignment horizontal="center" vertical="center"/>
    </xf>
    <xf numFmtId="0" fontId="8" fillId="2" borderId="1"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opLeftCell="A133" zoomScale="85" zoomScaleNormal="85" workbookViewId="0">
      <selection activeCell="A6" sqref="A6:A158"/>
    </sheetView>
  </sheetViews>
  <sheetFormatPr defaultColWidth="12.6328125" defaultRowHeight="15" customHeight="1"/>
  <cols>
    <col min="1" max="2" width="12.6328125" customWidth="1"/>
    <col min="3" max="3" width="48" customWidth="1"/>
    <col min="4" max="4" width="15.08984375" bestFit="1" customWidth="1"/>
    <col min="5" max="5" width="3.90625" hidden="1" customWidth="1"/>
    <col min="6" max="6" width="10" hidden="1" customWidth="1"/>
    <col min="7" max="7" width="12.36328125" hidden="1" customWidth="1"/>
    <col min="8" max="8" width="255.6328125" bestFit="1" customWidth="1"/>
    <col min="9" max="9" width="29.08984375" bestFit="1" customWidth="1"/>
    <col min="10" max="10" width="19.453125" customWidth="1"/>
    <col min="11" max="11" width="24.90625" hidden="1" customWidth="1"/>
    <col min="12" max="12" width="18.08984375" customWidth="1"/>
    <col min="13" max="13" width="26.453125" customWidth="1"/>
    <col min="14" max="14" width="15.36328125" customWidth="1"/>
    <col min="15" max="15" width="22.7265625" customWidth="1"/>
    <col min="16" max="16" width="25.26953125" customWidth="1"/>
    <col min="17" max="17" width="17.26953125" customWidth="1"/>
    <col min="18" max="18" width="9.453125" customWidth="1"/>
    <col min="19" max="19" width="9.6328125" customWidth="1"/>
    <col min="20" max="26" width="12.6328125" customWidth="1"/>
  </cols>
  <sheetData>
    <row r="1" spans="1:26" ht="15.75" customHeight="1">
      <c r="A1" s="68" t="s">
        <v>0</v>
      </c>
      <c r="B1" s="68" t="s">
        <v>1</v>
      </c>
      <c r="C1" s="68" t="s">
        <v>2</v>
      </c>
      <c r="D1" s="71" t="s">
        <v>3</v>
      </c>
      <c r="E1" s="68" t="s">
        <v>4</v>
      </c>
      <c r="F1" s="68" t="s">
        <v>5</v>
      </c>
      <c r="G1" s="68" t="s">
        <v>6</v>
      </c>
      <c r="H1" s="71" t="s">
        <v>7</v>
      </c>
      <c r="I1" s="74" t="s">
        <v>8</v>
      </c>
      <c r="J1" s="75"/>
      <c r="K1" s="75"/>
      <c r="L1" s="75"/>
      <c r="M1" s="75"/>
      <c r="N1" s="75"/>
      <c r="O1" s="75"/>
      <c r="P1" s="75"/>
      <c r="Q1" s="75"/>
      <c r="R1" s="75"/>
      <c r="S1" s="76"/>
      <c r="T1" s="1"/>
      <c r="U1" s="1"/>
      <c r="V1" s="1"/>
      <c r="W1" s="1"/>
      <c r="X1" s="1"/>
      <c r="Y1" s="1"/>
      <c r="Z1" s="1"/>
    </row>
    <row r="2" spans="1:26" ht="15.75" customHeight="1">
      <c r="A2" s="69"/>
      <c r="B2" s="69"/>
      <c r="C2" s="69"/>
      <c r="D2" s="69"/>
      <c r="E2" s="69"/>
      <c r="F2" s="69"/>
      <c r="G2" s="69"/>
      <c r="H2" s="69"/>
      <c r="I2" s="74" t="s">
        <v>9</v>
      </c>
      <c r="J2" s="75"/>
      <c r="K2" s="75"/>
      <c r="L2" s="75"/>
      <c r="M2" s="75"/>
      <c r="N2" s="75"/>
      <c r="O2" s="75"/>
      <c r="P2" s="75"/>
      <c r="Q2" s="75"/>
      <c r="R2" s="75"/>
      <c r="S2" s="76"/>
      <c r="T2" s="1"/>
      <c r="U2" s="1"/>
      <c r="V2" s="1"/>
      <c r="W2" s="1"/>
      <c r="X2" s="1"/>
      <c r="Y2" s="1"/>
      <c r="Z2" s="1"/>
    </row>
    <row r="3" spans="1:26" ht="15.75" customHeight="1">
      <c r="A3" s="69"/>
      <c r="B3" s="69"/>
      <c r="C3" s="69"/>
      <c r="D3" s="69"/>
      <c r="E3" s="69"/>
      <c r="F3" s="69"/>
      <c r="G3" s="69"/>
      <c r="H3" s="69"/>
      <c r="I3" s="77"/>
      <c r="J3" s="75"/>
      <c r="K3" s="75"/>
      <c r="L3" s="75"/>
      <c r="M3" s="75"/>
      <c r="N3" s="75"/>
      <c r="O3" s="76"/>
      <c r="P3" s="2"/>
      <c r="Q3" s="2"/>
      <c r="R3" s="2"/>
      <c r="S3" s="2"/>
      <c r="T3" s="1"/>
      <c r="U3" s="1"/>
      <c r="V3" s="1"/>
      <c r="W3" s="1"/>
      <c r="X3" s="1"/>
      <c r="Y3" s="1"/>
      <c r="Z3" s="1"/>
    </row>
    <row r="4" spans="1:26" ht="15.75" customHeight="1">
      <c r="A4" s="70"/>
      <c r="B4" s="70"/>
      <c r="C4" s="70"/>
      <c r="D4" s="70"/>
      <c r="E4" s="70"/>
      <c r="F4" s="70"/>
      <c r="G4" s="70"/>
      <c r="H4" s="70"/>
      <c r="I4" s="3" t="s">
        <v>10</v>
      </c>
      <c r="J4" s="3" t="s">
        <v>11</v>
      </c>
      <c r="K4" s="3" t="s">
        <v>12</v>
      </c>
      <c r="L4" s="3" t="s">
        <v>13</v>
      </c>
      <c r="M4" s="3" t="s">
        <v>14</v>
      </c>
      <c r="N4" s="3" t="s">
        <v>15</v>
      </c>
      <c r="O4" s="3" t="s">
        <v>16</v>
      </c>
      <c r="P4" s="3" t="s">
        <v>17</v>
      </c>
      <c r="Q4" s="3" t="s">
        <v>18</v>
      </c>
      <c r="R4" s="3" t="s">
        <v>19</v>
      </c>
      <c r="S4" s="3" t="s">
        <v>20</v>
      </c>
      <c r="T4" s="1"/>
      <c r="U4" s="1"/>
      <c r="V4" s="1"/>
      <c r="W4" s="1"/>
      <c r="X4" s="1"/>
      <c r="Y4" s="1"/>
      <c r="Z4" s="1"/>
    </row>
    <row r="5" spans="1:26" ht="15.75" customHeight="1">
      <c r="A5" s="4"/>
      <c r="B5" s="5"/>
      <c r="C5" s="5"/>
      <c r="D5" s="6"/>
      <c r="E5" s="7"/>
      <c r="F5" s="7"/>
      <c r="G5" s="7"/>
      <c r="H5" s="8"/>
      <c r="I5" s="2"/>
      <c r="J5" s="2"/>
      <c r="K5" s="2"/>
      <c r="L5" s="2"/>
      <c r="M5" s="9"/>
      <c r="N5" s="9"/>
      <c r="O5" s="9"/>
      <c r="P5" s="9"/>
      <c r="Q5" s="9"/>
      <c r="R5" s="9"/>
      <c r="S5" s="9"/>
      <c r="T5" s="1"/>
      <c r="U5" s="1"/>
      <c r="V5" s="1"/>
      <c r="W5" s="1"/>
      <c r="X5" s="1"/>
      <c r="Y5" s="1"/>
      <c r="Z5" s="1"/>
    </row>
    <row r="6" spans="1:26" ht="15.75" customHeight="1">
      <c r="A6" s="10">
        <v>1</v>
      </c>
      <c r="B6" s="10" t="s">
        <v>21</v>
      </c>
      <c r="C6" s="10" t="s">
        <v>22</v>
      </c>
      <c r="D6" s="10" t="s">
        <v>23</v>
      </c>
      <c r="E6" s="11"/>
      <c r="F6" s="11"/>
      <c r="G6" s="10"/>
      <c r="H6" s="12" t="s">
        <v>24</v>
      </c>
      <c r="I6" s="13">
        <v>12</v>
      </c>
      <c r="J6" s="10">
        <v>18</v>
      </c>
      <c r="K6" s="10">
        <v>12</v>
      </c>
      <c r="L6" s="10">
        <v>24</v>
      </c>
      <c r="M6" s="10">
        <v>35</v>
      </c>
      <c r="N6" s="10">
        <v>47</v>
      </c>
      <c r="O6" s="10">
        <v>59</v>
      </c>
      <c r="P6" s="10">
        <v>74</v>
      </c>
      <c r="Q6" s="10">
        <v>74</v>
      </c>
      <c r="R6" s="10">
        <v>20</v>
      </c>
      <c r="S6" s="10">
        <v>24</v>
      </c>
      <c r="T6" s="1"/>
      <c r="U6" s="1"/>
      <c r="V6" s="1"/>
      <c r="W6" s="1"/>
      <c r="X6" s="1"/>
      <c r="Y6" s="1"/>
      <c r="Z6" s="1"/>
    </row>
    <row r="7" spans="1:26" ht="15.75" customHeight="1">
      <c r="A7" s="10">
        <v>2</v>
      </c>
      <c r="B7" s="10" t="s">
        <v>21</v>
      </c>
      <c r="C7" s="10" t="s">
        <v>25</v>
      </c>
      <c r="D7" s="10" t="s">
        <v>26</v>
      </c>
      <c r="E7" s="11"/>
      <c r="F7" s="11"/>
      <c r="G7" s="10"/>
      <c r="H7" s="12" t="s">
        <v>27</v>
      </c>
      <c r="I7" s="13">
        <v>18</v>
      </c>
      <c r="J7" s="10">
        <v>24</v>
      </c>
      <c r="K7" s="10">
        <v>18</v>
      </c>
      <c r="L7" s="10">
        <v>30</v>
      </c>
      <c r="M7" s="10">
        <v>70</v>
      </c>
      <c r="N7" s="10">
        <v>94</v>
      </c>
      <c r="O7" s="10">
        <v>108</v>
      </c>
      <c r="P7" s="10">
        <v>148</v>
      </c>
      <c r="Q7" s="10">
        <v>148</v>
      </c>
      <c r="R7" s="10">
        <v>20</v>
      </c>
      <c r="S7" s="10">
        <v>48</v>
      </c>
      <c r="T7" s="1"/>
      <c r="U7" s="1"/>
      <c r="V7" s="1"/>
      <c r="W7" s="1"/>
      <c r="X7" s="1"/>
      <c r="Y7" s="1"/>
      <c r="Z7" s="1"/>
    </row>
    <row r="8" spans="1:26" ht="15.75" customHeight="1">
      <c r="A8" s="67">
        <v>3</v>
      </c>
      <c r="B8" s="10" t="s">
        <v>28</v>
      </c>
      <c r="C8" s="10" t="s">
        <v>29</v>
      </c>
      <c r="D8" s="10" t="s">
        <v>30</v>
      </c>
      <c r="E8" s="10"/>
      <c r="F8" s="10"/>
      <c r="G8" s="10"/>
      <c r="H8" s="12" t="s">
        <v>31</v>
      </c>
      <c r="I8" s="13">
        <v>41</v>
      </c>
      <c r="J8" s="13">
        <v>47</v>
      </c>
      <c r="K8" s="13">
        <v>53</v>
      </c>
      <c r="L8" s="13">
        <v>65</v>
      </c>
      <c r="M8" s="13">
        <v>165</v>
      </c>
      <c r="N8" s="10">
        <v>236</v>
      </c>
      <c r="O8" s="10">
        <v>295</v>
      </c>
      <c r="P8" s="10">
        <v>354</v>
      </c>
      <c r="Q8" s="13">
        <v>354</v>
      </c>
      <c r="R8" s="13">
        <v>20</v>
      </c>
      <c r="S8" s="13">
        <v>47</v>
      </c>
      <c r="T8" s="1"/>
      <c r="U8" s="1"/>
      <c r="V8" s="1"/>
      <c r="W8" s="1"/>
      <c r="X8" s="1"/>
      <c r="Y8" s="1"/>
      <c r="Z8" s="1"/>
    </row>
    <row r="9" spans="1:26" ht="15.75" customHeight="1">
      <c r="A9" s="67">
        <v>4</v>
      </c>
      <c r="B9" s="10" t="s">
        <v>32</v>
      </c>
      <c r="C9" s="14" t="s">
        <v>33</v>
      </c>
      <c r="D9" s="10" t="s">
        <v>34</v>
      </c>
      <c r="E9" s="11"/>
      <c r="F9" s="10"/>
      <c r="G9" s="10"/>
      <c r="H9" s="12" t="s">
        <v>35</v>
      </c>
      <c r="I9" s="13">
        <v>47</v>
      </c>
      <c r="J9" s="13">
        <v>53</v>
      </c>
      <c r="K9" s="13">
        <v>59</v>
      </c>
      <c r="L9" s="13">
        <v>71</v>
      </c>
      <c r="M9" s="13">
        <v>195</v>
      </c>
      <c r="N9" s="10">
        <v>295</v>
      </c>
      <c r="O9" s="10">
        <v>383</v>
      </c>
      <c r="P9" s="10">
        <v>427</v>
      </c>
      <c r="Q9" s="10">
        <v>427</v>
      </c>
      <c r="R9" s="10">
        <v>20</v>
      </c>
      <c r="S9" s="10">
        <v>47</v>
      </c>
      <c r="T9" s="1"/>
      <c r="U9" s="1"/>
      <c r="V9" s="1"/>
      <c r="W9" s="1"/>
      <c r="X9" s="1"/>
      <c r="Y9" s="1"/>
      <c r="Z9" s="1"/>
    </row>
    <row r="10" spans="1:26" ht="15.75" customHeight="1">
      <c r="A10" s="67">
        <v>5</v>
      </c>
      <c r="B10" s="10" t="s">
        <v>32</v>
      </c>
      <c r="C10" s="10" t="s">
        <v>29</v>
      </c>
      <c r="D10" s="10" t="s">
        <v>36</v>
      </c>
      <c r="E10" s="10"/>
      <c r="F10" s="10"/>
      <c r="G10" s="10"/>
      <c r="H10" s="12" t="s">
        <v>37</v>
      </c>
      <c r="I10" s="10">
        <v>77</v>
      </c>
      <c r="J10" s="13">
        <v>83</v>
      </c>
      <c r="K10" s="13">
        <v>89</v>
      </c>
      <c r="L10" s="13">
        <v>101</v>
      </c>
      <c r="M10" s="13">
        <v>225</v>
      </c>
      <c r="N10" s="10">
        <v>324</v>
      </c>
      <c r="O10" s="10">
        <v>445</v>
      </c>
      <c r="P10" s="13">
        <v>560</v>
      </c>
      <c r="Q10" s="13">
        <v>560</v>
      </c>
      <c r="R10" s="13">
        <v>50</v>
      </c>
      <c r="S10" s="13">
        <v>65</v>
      </c>
      <c r="T10" s="1"/>
      <c r="U10" s="1"/>
      <c r="V10" s="1"/>
      <c r="W10" s="1"/>
      <c r="X10" s="1"/>
      <c r="Y10" s="1"/>
      <c r="Z10" s="1"/>
    </row>
    <row r="11" spans="1:26" ht="12.75" customHeight="1">
      <c r="A11" s="67">
        <v>6</v>
      </c>
      <c r="B11" s="10" t="s">
        <v>28</v>
      </c>
      <c r="C11" s="10" t="s">
        <v>38</v>
      </c>
      <c r="D11" s="10" t="s">
        <v>30</v>
      </c>
      <c r="E11" s="10"/>
      <c r="F11" s="10"/>
      <c r="G11" s="10"/>
      <c r="H11" s="15" t="s">
        <v>39</v>
      </c>
      <c r="I11" s="13">
        <v>71</v>
      </c>
      <c r="J11" s="13">
        <v>76</v>
      </c>
      <c r="K11" s="13">
        <v>80</v>
      </c>
      <c r="L11" s="13">
        <v>85</v>
      </c>
      <c r="M11" s="13">
        <v>195</v>
      </c>
      <c r="N11" s="10">
        <v>265</v>
      </c>
      <c r="O11" s="10">
        <v>324</v>
      </c>
      <c r="P11" s="13">
        <v>354</v>
      </c>
      <c r="Q11" s="13">
        <v>354</v>
      </c>
      <c r="R11" s="13">
        <v>20</v>
      </c>
      <c r="S11" s="13">
        <v>47</v>
      </c>
      <c r="T11" s="1"/>
      <c r="U11" s="1"/>
      <c r="V11" s="1"/>
      <c r="W11" s="1"/>
      <c r="X11" s="1"/>
      <c r="Y11" s="1"/>
      <c r="Z11" s="1"/>
    </row>
    <row r="12" spans="1:26" ht="12.75" customHeight="1">
      <c r="A12" s="67">
        <v>7</v>
      </c>
      <c r="B12" s="10" t="s">
        <v>28</v>
      </c>
      <c r="C12" s="10" t="s">
        <v>38</v>
      </c>
      <c r="D12" s="10" t="s">
        <v>36</v>
      </c>
      <c r="E12" s="10"/>
      <c r="F12" s="10"/>
      <c r="G12" s="10"/>
      <c r="H12" s="15" t="s">
        <v>40</v>
      </c>
      <c r="I12" s="10">
        <v>107</v>
      </c>
      <c r="J12" s="13">
        <v>112</v>
      </c>
      <c r="K12" s="13">
        <v>116</v>
      </c>
      <c r="L12" s="13">
        <v>121</v>
      </c>
      <c r="M12" s="13">
        <v>255</v>
      </c>
      <c r="N12" s="10">
        <v>353</v>
      </c>
      <c r="O12" s="10">
        <v>474</v>
      </c>
      <c r="P12" s="13">
        <v>560</v>
      </c>
      <c r="Q12" s="13">
        <v>560</v>
      </c>
      <c r="R12" s="13">
        <v>40</v>
      </c>
      <c r="S12" s="13">
        <v>65</v>
      </c>
      <c r="T12" s="1"/>
      <c r="U12" s="1"/>
      <c r="V12" s="1"/>
      <c r="W12" s="1"/>
      <c r="X12" s="1"/>
      <c r="Y12" s="1"/>
      <c r="Z12" s="1"/>
    </row>
    <row r="13" spans="1:26" ht="15.75" customHeight="1">
      <c r="A13" s="67">
        <v>8</v>
      </c>
      <c r="B13" s="10" t="s">
        <v>28</v>
      </c>
      <c r="C13" s="10" t="s">
        <v>41</v>
      </c>
      <c r="D13" s="10" t="s">
        <v>30</v>
      </c>
      <c r="E13" s="10"/>
      <c r="F13" s="10"/>
      <c r="G13" s="10"/>
      <c r="H13" s="12" t="s">
        <v>42</v>
      </c>
      <c r="I13" s="13">
        <v>71</v>
      </c>
      <c r="J13" s="13">
        <v>76</v>
      </c>
      <c r="K13" s="13">
        <v>80</v>
      </c>
      <c r="L13" s="13">
        <v>85</v>
      </c>
      <c r="M13" s="13">
        <v>195</v>
      </c>
      <c r="N13" s="10">
        <v>265</v>
      </c>
      <c r="O13" s="10">
        <v>324</v>
      </c>
      <c r="P13" s="13">
        <v>354</v>
      </c>
      <c r="Q13" s="10">
        <v>354</v>
      </c>
      <c r="R13" s="10">
        <v>20</v>
      </c>
      <c r="S13" s="10">
        <v>47</v>
      </c>
      <c r="T13" s="1"/>
      <c r="U13" s="1"/>
      <c r="V13" s="1"/>
      <c r="W13" s="1"/>
      <c r="X13" s="1"/>
      <c r="Y13" s="1"/>
      <c r="Z13" s="1"/>
    </row>
    <row r="14" spans="1:26" ht="15.75" customHeight="1">
      <c r="A14" s="67">
        <v>9</v>
      </c>
      <c r="B14" s="10" t="s">
        <v>28</v>
      </c>
      <c r="C14" s="10" t="s">
        <v>41</v>
      </c>
      <c r="D14" s="10" t="s">
        <v>36</v>
      </c>
      <c r="E14" s="10"/>
      <c r="F14" s="10"/>
      <c r="G14" s="10"/>
      <c r="H14" s="12" t="s">
        <v>43</v>
      </c>
      <c r="I14" s="10">
        <v>107</v>
      </c>
      <c r="J14" s="13">
        <v>112</v>
      </c>
      <c r="K14" s="13">
        <v>116</v>
      </c>
      <c r="L14" s="13">
        <v>121</v>
      </c>
      <c r="M14" s="13">
        <v>255</v>
      </c>
      <c r="N14" s="10">
        <v>353</v>
      </c>
      <c r="O14" s="10">
        <v>474</v>
      </c>
      <c r="P14" s="13">
        <v>560</v>
      </c>
      <c r="Q14" s="13">
        <v>560</v>
      </c>
      <c r="R14" s="13">
        <v>40</v>
      </c>
      <c r="S14" s="13">
        <v>65</v>
      </c>
      <c r="T14" s="1"/>
      <c r="U14" s="1"/>
      <c r="V14" s="1"/>
      <c r="W14" s="1"/>
      <c r="X14" s="1"/>
      <c r="Y14" s="1"/>
      <c r="Z14" s="1"/>
    </row>
    <row r="15" spans="1:26" ht="15.75" customHeight="1">
      <c r="A15" s="67">
        <v>10</v>
      </c>
      <c r="B15" s="10" t="s">
        <v>28</v>
      </c>
      <c r="C15" s="14" t="s">
        <v>44</v>
      </c>
      <c r="D15" s="10" t="s">
        <v>30</v>
      </c>
      <c r="E15" s="10"/>
      <c r="F15" s="10"/>
      <c r="G15" s="10"/>
      <c r="H15" s="12" t="s">
        <v>45</v>
      </c>
      <c r="I15" s="13">
        <f>77</f>
        <v>77</v>
      </c>
      <c r="J15" s="13">
        <v>77</v>
      </c>
      <c r="K15" s="13">
        <v>95</v>
      </c>
      <c r="L15" s="13">
        <v>95</v>
      </c>
      <c r="M15" s="13">
        <v>200</v>
      </c>
      <c r="N15" s="10">
        <v>312</v>
      </c>
      <c r="O15" s="10">
        <v>383</v>
      </c>
      <c r="P15" s="13">
        <v>427</v>
      </c>
      <c r="Q15" s="10">
        <v>427</v>
      </c>
      <c r="R15" s="10">
        <v>20</v>
      </c>
      <c r="S15" s="10">
        <v>47</v>
      </c>
      <c r="T15" s="1"/>
      <c r="U15" s="1"/>
      <c r="V15" s="1"/>
      <c r="W15" s="1"/>
      <c r="X15" s="1"/>
      <c r="Y15" s="1"/>
      <c r="Z15" s="1"/>
    </row>
    <row r="16" spans="1:26" ht="15.75" customHeight="1">
      <c r="A16" s="67">
        <v>11</v>
      </c>
      <c r="B16" s="10" t="s">
        <v>28</v>
      </c>
      <c r="C16" s="14" t="s">
        <v>46</v>
      </c>
      <c r="D16" s="10" t="s">
        <v>36</v>
      </c>
      <c r="E16" s="10"/>
      <c r="F16" s="10"/>
      <c r="G16" s="10"/>
      <c r="H16" s="12" t="s">
        <v>47</v>
      </c>
      <c r="I16" s="13">
        <v>112</v>
      </c>
      <c r="J16" s="13">
        <v>112</v>
      </c>
      <c r="K16" s="13">
        <v>130</v>
      </c>
      <c r="L16" s="13">
        <v>130</v>
      </c>
      <c r="M16" s="13">
        <v>230</v>
      </c>
      <c r="N16" s="10">
        <v>370</v>
      </c>
      <c r="O16" s="10">
        <v>383</v>
      </c>
      <c r="P16" s="13">
        <v>427</v>
      </c>
      <c r="Q16" s="10">
        <v>427</v>
      </c>
      <c r="R16" s="10">
        <v>40</v>
      </c>
      <c r="S16" s="10">
        <v>65</v>
      </c>
      <c r="T16" s="1"/>
      <c r="U16" s="1"/>
      <c r="V16" s="1"/>
      <c r="W16" s="1"/>
      <c r="X16" s="1"/>
      <c r="Y16" s="1"/>
      <c r="Z16" s="1"/>
    </row>
    <row r="17" spans="1:26" ht="15.75" customHeight="1">
      <c r="A17" s="67">
        <v>12</v>
      </c>
      <c r="B17" s="10" t="s">
        <v>28</v>
      </c>
      <c r="C17" s="14" t="s">
        <v>48</v>
      </c>
      <c r="D17" s="10" t="s">
        <v>30</v>
      </c>
      <c r="E17" s="10"/>
      <c r="F17" s="10"/>
      <c r="G17" s="10"/>
      <c r="H17" s="12" t="s">
        <v>49</v>
      </c>
      <c r="I17" s="13">
        <v>71</v>
      </c>
      <c r="J17" s="10">
        <v>78</v>
      </c>
      <c r="K17" s="10">
        <v>82</v>
      </c>
      <c r="L17" s="10">
        <v>88</v>
      </c>
      <c r="M17" s="10">
        <v>230</v>
      </c>
      <c r="N17" s="10">
        <v>312</v>
      </c>
      <c r="O17" s="10">
        <v>383</v>
      </c>
      <c r="P17" s="13">
        <v>427</v>
      </c>
      <c r="Q17" s="13">
        <v>427</v>
      </c>
      <c r="R17" s="13">
        <v>20</v>
      </c>
      <c r="S17" s="13">
        <v>47</v>
      </c>
      <c r="T17" s="1"/>
      <c r="U17" s="1"/>
      <c r="V17" s="1"/>
      <c r="W17" s="1"/>
      <c r="X17" s="1"/>
      <c r="Y17" s="1"/>
      <c r="Z17" s="1"/>
    </row>
    <row r="18" spans="1:26" ht="15.75" customHeight="1">
      <c r="A18" s="67">
        <v>13</v>
      </c>
      <c r="B18" s="10" t="s">
        <v>28</v>
      </c>
      <c r="C18" s="10" t="s">
        <v>50</v>
      </c>
      <c r="D18" s="10" t="s">
        <v>30</v>
      </c>
      <c r="E18" s="10"/>
      <c r="F18" s="10"/>
      <c r="G18" s="10"/>
      <c r="H18" s="12" t="s">
        <v>51</v>
      </c>
      <c r="I18" s="10">
        <v>71</v>
      </c>
      <c r="J18" s="10">
        <v>76</v>
      </c>
      <c r="K18" s="10">
        <v>80</v>
      </c>
      <c r="L18" s="10">
        <v>85</v>
      </c>
      <c r="M18" s="10">
        <v>195</v>
      </c>
      <c r="N18" s="10">
        <v>295</v>
      </c>
      <c r="O18" s="10">
        <v>354</v>
      </c>
      <c r="P18" s="10">
        <v>412</v>
      </c>
      <c r="Q18" s="10">
        <v>412</v>
      </c>
      <c r="R18" s="10">
        <v>20</v>
      </c>
      <c r="S18" s="10">
        <v>47</v>
      </c>
      <c r="T18" s="1"/>
      <c r="U18" s="1"/>
      <c r="V18" s="1"/>
      <c r="W18" s="1"/>
      <c r="X18" s="1"/>
      <c r="Y18" s="1"/>
      <c r="Z18" s="1"/>
    </row>
    <row r="19" spans="1:26" ht="15.75" customHeight="1">
      <c r="A19" s="67">
        <v>14</v>
      </c>
      <c r="B19" s="10" t="s">
        <v>28</v>
      </c>
      <c r="C19" s="10" t="s">
        <v>50</v>
      </c>
      <c r="D19" s="16" t="s">
        <v>36</v>
      </c>
      <c r="E19" s="10"/>
      <c r="F19" s="10"/>
      <c r="G19" s="10"/>
      <c r="H19" s="12" t="s">
        <v>52</v>
      </c>
      <c r="I19" s="10">
        <v>107</v>
      </c>
      <c r="J19" s="13">
        <v>112</v>
      </c>
      <c r="K19" s="13">
        <v>116</v>
      </c>
      <c r="L19" s="13">
        <v>121</v>
      </c>
      <c r="M19" s="13">
        <v>255</v>
      </c>
      <c r="N19" s="10">
        <v>383</v>
      </c>
      <c r="O19" s="10">
        <v>504</v>
      </c>
      <c r="P19" s="13">
        <v>618</v>
      </c>
      <c r="Q19" s="13">
        <v>618</v>
      </c>
      <c r="R19" s="10">
        <v>40</v>
      </c>
      <c r="S19" s="10">
        <v>65</v>
      </c>
      <c r="T19" s="1"/>
      <c r="U19" s="1"/>
      <c r="V19" s="1"/>
      <c r="W19" s="1"/>
      <c r="X19" s="1"/>
      <c r="Y19" s="1"/>
      <c r="Z19" s="1"/>
    </row>
    <row r="20" spans="1:26" ht="15.75" customHeight="1">
      <c r="A20" s="67">
        <v>15</v>
      </c>
      <c r="B20" s="10" t="s">
        <v>28</v>
      </c>
      <c r="C20" s="10" t="s">
        <v>53</v>
      </c>
      <c r="D20" s="10" t="s">
        <v>30</v>
      </c>
      <c r="E20" s="10"/>
      <c r="F20" s="10"/>
      <c r="G20" s="10"/>
      <c r="H20" s="12" t="s">
        <v>54</v>
      </c>
      <c r="I20" s="10">
        <v>71</v>
      </c>
      <c r="J20" s="10">
        <v>76</v>
      </c>
      <c r="K20" s="10">
        <v>80</v>
      </c>
      <c r="L20" s="10">
        <v>85</v>
      </c>
      <c r="M20" s="10">
        <v>206</v>
      </c>
      <c r="N20" s="10">
        <v>295</v>
      </c>
      <c r="O20" s="10">
        <v>354</v>
      </c>
      <c r="P20" s="10">
        <v>412</v>
      </c>
      <c r="Q20" s="10">
        <v>412</v>
      </c>
      <c r="R20" s="10">
        <v>20</v>
      </c>
      <c r="S20" s="10">
        <v>47</v>
      </c>
      <c r="T20" s="17"/>
      <c r="U20" s="1"/>
      <c r="V20" s="1"/>
      <c r="W20" s="1"/>
      <c r="X20" s="1"/>
      <c r="Y20" s="1"/>
      <c r="Z20" s="1"/>
    </row>
    <row r="21" spans="1:26" ht="15.75" customHeight="1">
      <c r="A21" s="67">
        <v>16</v>
      </c>
      <c r="B21" s="10" t="s">
        <v>28</v>
      </c>
      <c r="C21" s="10" t="s">
        <v>53</v>
      </c>
      <c r="D21" s="10" t="s">
        <v>36</v>
      </c>
      <c r="E21" s="10"/>
      <c r="F21" s="10"/>
      <c r="G21" s="10"/>
      <c r="H21" s="12" t="s">
        <v>55</v>
      </c>
      <c r="I21" s="10">
        <v>107</v>
      </c>
      <c r="J21" s="13">
        <v>112</v>
      </c>
      <c r="K21" s="13">
        <v>116</v>
      </c>
      <c r="L21" s="13">
        <v>121</v>
      </c>
      <c r="M21" s="13">
        <v>255</v>
      </c>
      <c r="N21" s="10">
        <v>383</v>
      </c>
      <c r="O21" s="10">
        <v>504</v>
      </c>
      <c r="P21" s="13">
        <v>618</v>
      </c>
      <c r="Q21" s="13">
        <v>618</v>
      </c>
      <c r="R21" s="10">
        <v>40</v>
      </c>
      <c r="S21" s="10">
        <v>65</v>
      </c>
      <c r="T21" s="1"/>
      <c r="U21" s="1"/>
      <c r="V21" s="1"/>
      <c r="W21" s="1"/>
      <c r="X21" s="1"/>
      <c r="Y21" s="1"/>
      <c r="Z21" s="1"/>
    </row>
    <row r="22" spans="1:26" ht="15.75" customHeight="1">
      <c r="A22" s="67">
        <v>17</v>
      </c>
      <c r="B22" s="10" t="s">
        <v>28</v>
      </c>
      <c r="C22" s="10" t="s">
        <v>56</v>
      </c>
      <c r="D22" s="10" t="s">
        <v>30</v>
      </c>
      <c r="E22" s="10"/>
      <c r="F22" s="10"/>
      <c r="G22" s="10"/>
      <c r="H22" s="12" t="s">
        <v>57</v>
      </c>
      <c r="I22" s="10">
        <v>76</v>
      </c>
      <c r="J22" s="10">
        <v>80</v>
      </c>
      <c r="K22" s="10">
        <v>85</v>
      </c>
      <c r="L22" s="10">
        <v>90</v>
      </c>
      <c r="M22" s="10">
        <v>206</v>
      </c>
      <c r="N22" s="10">
        <v>295</v>
      </c>
      <c r="O22" s="10">
        <v>354</v>
      </c>
      <c r="P22" s="10">
        <v>412</v>
      </c>
      <c r="Q22" s="13">
        <v>412</v>
      </c>
      <c r="R22" s="10">
        <v>20</v>
      </c>
      <c r="S22" s="10">
        <v>47</v>
      </c>
      <c r="T22" s="1"/>
      <c r="U22" s="1"/>
      <c r="V22" s="1"/>
      <c r="W22" s="1"/>
      <c r="X22" s="1"/>
      <c r="Y22" s="1"/>
      <c r="Z22" s="1"/>
    </row>
    <row r="23" spans="1:26" ht="15.75" customHeight="1">
      <c r="A23" s="67">
        <v>18</v>
      </c>
      <c r="B23" s="10" t="s">
        <v>28</v>
      </c>
      <c r="C23" s="10" t="s">
        <v>56</v>
      </c>
      <c r="D23" s="10" t="s">
        <v>36</v>
      </c>
      <c r="E23" s="10"/>
      <c r="F23" s="10"/>
      <c r="G23" s="10"/>
      <c r="H23" s="12" t="s">
        <v>58</v>
      </c>
      <c r="I23" s="10">
        <v>112</v>
      </c>
      <c r="J23" s="13">
        <v>116</v>
      </c>
      <c r="K23" s="13">
        <v>121</v>
      </c>
      <c r="L23" s="13">
        <v>126</v>
      </c>
      <c r="M23" s="13">
        <v>266</v>
      </c>
      <c r="N23" s="10">
        <v>388</v>
      </c>
      <c r="O23" s="10">
        <v>504</v>
      </c>
      <c r="P23" s="13">
        <v>628</v>
      </c>
      <c r="Q23" s="13">
        <v>628</v>
      </c>
      <c r="R23" s="10">
        <v>40</v>
      </c>
      <c r="S23" s="10">
        <v>65</v>
      </c>
      <c r="T23" s="1"/>
      <c r="U23" s="1"/>
      <c r="V23" s="1"/>
      <c r="W23" s="1"/>
      <c r="X23" s="1"/>
      <c r="Y23" s="1"/>
      <c r="Z23" s="1"/>
    </row>
    <row r="24" spans="1:26" ht="15.75" customHeight="1">
      <c r="A24" s="67">
        <v>19</v>
      </c>
      <c r="B24" s="10" t="s">
        <v>28</v>
      </c>
      <c r="C24" s="10" t="s">
        <v>59</v>
      </c>
      <c r="D24" s="10" t="s">
        <v>30</v>
      </c>
      <c r="E24" s="10"/>
      <c r="F24" s="10"/>
      <c r="G24" s="10"/>
      <c r="H24" s="12" t="s">
        <v>60</v>
      </c>
      <c r="I24" s="10">
        <v>71</v>
      </c>
      <c r="J24" s="10">
        <v>76</v>
      </c>
      <c r="K24" s="10">
        <v>80</v>
      </c>
      <c r="L24" s="10">
        <v>85</v>
      </c>
      <c r="M24" s="10">
        <v>195</v>
      </c>
      <c r="N24" s="10">
        <v>265</v>
      </c>
      <c r="O24" s="10">
        <v>324</v>
      </c>
      <c r="P24" s="10">
        <v>354</v>
      </c>
      <c r="Q24" s="10">
        <v>354</v>
      </c>
      <c r="R24" s="10">
        <v>20</v>
      </c>
      <c r="S24" s="10">
        <v>47</v>
      </c>
      <c r="T24" s="1"/>
      <c r="U24" s="1"/>
      <c r="V24" s="1"/>
      <c r="W24" s="1"/>
      <c r="X24" s="1"/>
      <c r="Y24" s="1"/>
      <c r="Z24" s="1"/>
    </row>
    <row r="25" spans="1:26" ht="15.75" customHeight="1">
      <c r="A25" s="67">
        <v>20</v>
      </c>
      <c r="B25" s="10" t="s">
        <v>28</v>
      </c>
      <c r="C25" s="10" t="s">
        <v>59</v>
      </c>
      <c r="D25" s="10" t="s">
        <v>36</v>
      </c>
      <c r="E25" s="10"/>
      <c r="F25" s="10"/>
      <c r="G25" s="10"/>
      <c r="H25" s="12" t="s">
        <v>61</v>
      </c>
      <c r="I25" s="10">
        <v>107</v>
      </c>
      <c r="J25" s="13">
        <v>112</v>
      </c>
      <c r="K25" s="13">
        <v>116</v>
      </c>
      <c r="L25" s="13">
        <v>121</v>
      </c>
      <c r="M25" s="13">
        <v>255</v>
      </c>
      <c r="N25" s="10">
        <v>383</v>
      </c>
      <c r="O25" s="10">
        <v>504</v>
      </c>
      <c r="P25" s="13">
        <v>618</v>
      </c>
      <c r="Q25" s="13">
        <v>618</v>
      </c>
      <c r="R25" s="10">
        <v>40</v>
      </c>
      <c r="S25" s="10">
        <v>65</v>
      </c>
      <c r="T25" s="1"/>
      <c r="U25" s="1"/>
      <c r="V25" s="1"/>
      <c r="W25" s="1"/>
      <c r="X25" s="1"/>
      <c r="Y25" s="1"/>
      <c r="Z25" s="1"/>
    </row>
    <row r="26" spans="1:26" ht="15.75" customHeight="1">
      <c r="A26" s="67">
        <v>21</v>
      </c>
      <c r="B26" s="10" t="s">
        <v>28</v>
      </c>
      <c r="C26" s="10" t="s">
        <v>62</v>
      </c>
      <c r="D26" s="10" t="s">
        <v>30</v>
      </c>
      <c r="E26" s="10"/>
      <c r="F26" s="10"/>
      <c r="G26" s="10"/>
      <c r="H26" s="12" t="s">
        <v>63</v>
      </c>
      <c r="I26" s="10">
        <v>71</v>
      </c>
      <c r="J26" s="10">
        <v>76</v>
      </c>
      <c r="K26" s="10">
        <v>80</v>
      </c>
      <c r="L26" s="10">
        <v>85</v>
      </c>
      <c r="M26" s="10">
        <v>195</v>
      </c>
      <c r="N26" s="10">
        <v>265</v>
      </c>
      <c r="O26" s="10">
        <v>324</v>
      </c>
      <c r="P26" s="10">
        <v>383</v>
      </c>
      <c r="Q26" s="10">
        <v>383</v>
      </c>
      <c r="R26" s="10">
        <v>20</v>
      </c>
      <c r="S26" s="10">
        <v>47</v>
      </c>
      <c r="T26" s="1"/>
      <c r="U26" s="1"/>
      <c r="V26" s="1"/>
      <c r="W26" s="1"/>
      <c r="X26" s="1"/>
      <c r="Y26" s="1"/>
      <c r="Z26" s="1"/>
    </row>
    <row r="27" spans="1:26" ht="15.75" customHeight="1">
      <c r="A27" s="67">
        <v>22</v>
      </c>
      <c r="B27" s="10" t="s">
        <v>28</v>
      </c>
      <c r="C27" s="10" t="s">
        <v>62</v>
      </c>
      <c r="D27" s="10" t="s">
        <v>36</v>
      </c>
      <c r="E27" s="10"/>
      <c r="F27" s="10"/>
      <c r="G27" s="10"/>
      <c r="H27" s="12" t="s">
        <v>64</v>
      </c>
      <c r="I27" s="10">
        <v>107</v>
      </c>
      <c r="J27" s="13">
        <v>112</v>
      </c>
      <c r="K27" s="13">
        <v>116</v>
      </c>
      <c r="L27" s="13">
        <v>121</v>
      </c>
      <c r="M27" s="13">
        <v>255</v>
      </c>
      <c r="N27" s="10">
        <v>383</v>
      </c>
      <c r="O27" s="10">
        <v>504</v>
      </c>
      <c r="P27" s="13">
        <v>618</v>
      </c>
      <c r="Q27" s="13">
        <v>618</v>
      </c>
      <c r="R27" s="10">
        <v>40</v>
      </c>
      <c r="S27" s="10">
        <v>65</v>
      </c>
      <c r="T27" s="1"/>
      <c r="U27" s="1"/>
      <c r="V27" s="1"/>
      <c r="W27" s="1"/>
      <c r="X27" s="1"/>
      <c r="Y27" s="1"/>
      <c r="Z27" s="1"/>
    </row>
    <row r="28" spans="1:26" ht="15.75" customHeight="1">
      <c r="A28" s="67">
        <v>23</v>
      </c>
      <c r="B28" s="10" t="s">
        <v>28</v>
      </c>
      <c r="C28" s="10" t="s">
        <v>65</v>
      </c>
      <c r="D28" s="10" t="s">
        <v>30</v>
      </c>
      <c r="E28" s="10"/>
      <c r="F28" s="10"/>
      <c r="G28" s="10"/>
      <c r="H28" s="12" t="s">
        <v>66</v>
      </c>
      <c r="I28" s="10">
        <v>71</v>
      </c>
      <c r="J28" s="10">
        <v>76</v>
      </c>
      <c r="K28" s="10">
        <v>80</v>
      </c>
      <c r="L28" s="10">
        <v>85</v>
      </c>
      <c r="M28" s="10">
        <v>195</v>
      </c>
      <c r="N28" s="10">
        <v>265</v>
      </c>
      <c r="O28" s="10">
        <v>324</v>
      </c>
      <c r="P28" s="10">
        <v>383</v>
      </c>
      <c r="Q28" s="13">
        <v>383</v>
      </c>
      <c r="R28" s="10">
        <v>20</v>
      </c>
      <c r="S28" s="10">
        <v>47</v>
      </c>
      <c r="T28" s="1"/>
      <c r="U28" s="1"/>
      <c r="V28" s="1"/>
      <c r="W28" s="1"/>
      <c r="X28" s="1"/>
      <c r="Y28" s="1"/>
      <c r="Z28" s="1"/>
    </row>
    <row r="29" spans="1:26" ht="15.75" customHeight="1">
      <c r="A29" s="67">
        <v>24</v>
      </c>
      <c r="B29" s="10" t="s">
        <v>28</v>
      </c>
      <c r="C29" s="10" t="s">
        <v>65</v>
      </c>
      <c r="D29" s="10" t="s">
        <v>36</v>
      </c>
      <c r="E29" s="10"/>
      <c r="F29" s="10"/>
      <c r="G29" s="10"/>
      <c r="H29" s="12" t="s">
        <v>67</v>
      </c>
      <c r="I29" s="10">
        <v>107</v>
      </c>
      <c r="J29" s="13">
        <v>112</v>
      </c>
      <c r="K29" s="13">
        <v>116</v>
      </c>
      <c r="L29" s="13">
        <v>121</v>
      </c>
      <c r="M29" s="13">
        <v>255</v>
      </c>
      <c r="N29" s="10">
        <v>383</v>
      </c>
      <c r="O29" s="10">
        <v>474</v>
      </c>
      <c r="P29" s="13">
        <v>589</v>
      </c>
      <c r="Q29" s="13">
        <v>589</v>
      </c>
      <c r="R29" s="10">
        <v>40</v>
      </c>
      <c r="S29" s="10">
        <v>65</v>
      </c>
      <c r="T29" s="1"/>
      <c r="U29" s="1"/>
      <c r="V29" s="1"/>
      <c r="W29" s="1"/>
      <c r="X29" s="1"/>
      <c r="Y29" s="1"/>
      <c r="Z29" s="1"/>
    </row>
    <row r="30" spans="1:26" ht="15.75" customHeight="1">
      <c r="A30" s="67">
        <v>25</v>
      </c>
      <c r="B30" s="10" t="s">
        <v>28</v>
      </c>
      <c r="C30" s="10" t="s">
        <v>68</v>
      </c>
      <c r="D30" s="10" t="s">
        <v>30</v>
      </c>
      <c r="E30" s="10"/>
      <c r="F30" s="10"/>
      <c r="G30" s="10"/>
      <c r="H30" s="12" t="s">
        <v>69</v>
      </c>
      <c r="I30" s="10">
        <v>71</v>
      </c>
      <c r="J30" s="10">
        <v>76</v>
      </c>
      <c r="K30" s="10">
        <v>80</v>
      </c>
      <c r="L30" s="10">
        <v>85</v>
      </c>
      <c r="M30" s="10">
        <v>195</v>
      </c>
      <c r="N30" s="10">
        <v>265</v>
      </c>
      <c r="O30" s="10">
        <v>324</v>
      </c>
      <c r="P30" s="10">
        <v>354</v>
      </c>
      <c r="Q30" s="13">
        <v>354</v>
      </c>
      <c r="R30" s="10">
        <v>20</v>
      </c>
      <c r="S30" s="10">
        <v>47</v>
      </c>
      <c r="T30" s="1"/>
      <c r="U30" s="1"/>
      <c r="V30" s="1"/>
      <c r="W30" s="1"/>
      <c r="X30" s="1"/>
      <c r="Y30" s="1"/>
      <c r="Z30" s="1"/>
    </row>
    <row r="31" spans="1:26" ht="15.75" customHeight="1">
      <c r="A31" s="67">
        <v>26</v>
      </c>
      <c r="B31" s="10" t="s">
        <v>28</v>
      </c>
      <c r="C31" s="10" t="s">
        <v>68</v>
      </c>
      <c r="D31" s="10" t="s">
        <v>36</v>
      </c>
      <c r="E31" s="10"/>
      <c r="F31" s="10"/>
      <c r="G31" s="10"/>
      <c r="H31" s="12" t="s">
        <v>70</v>
      </c>
      <c r="I31" s="10">
        <v>107</v>
      </c>
      <c r="J31" s="13">
        <v>112</v>
      </c>
      <c r="K31" s="13">
        <v>116</v>
      </c>
      <c r="L31" s="13">
        <v>121</v>
      </c>
      <c r="M31" s="13">
        <v>255</v>
      </c>
      <c r="N31" s="10">
        <v>353</v>
      </c>
      <c r="O31" s="10">
        <v>150</v>
      </c>
      <c r="P31" s="13">
        <v>560</v>
      </c>
      <c r="Q31" s="13">
        <v>560</v>
      </c>
      <c r="R31" s="10">
        <v>40</v>
      </c>
      <c r="S31" s="10">
        <v>65</v>
      </c>
      <c r="T31" s="1"/>
      <c r="U31" s="1"/>
      <c r="V31" s="1"/>
      <c r="W31" s="1"/>
      <c r="X31" s="1"/>
      <c r="Y31" s="1"/>
      <c r="Z31" s="1"/>
    </row>
    <row r="32" spans="1:26" ht="15.75" customHeight="1">
      <c r="A32" s="67">
        <v>27</v>
      </c>
      <c r="B32" s="10" t="s">
        <v>28</v>
      </c>
      <c r="C32" s="10" t="s">
        <v>71</v>
      </c>
      <c r="D32" s="10" t="s">
        <v>30</v>
      </c>
      <c r="E32" s="10"/>
      <c r="F32" s="10"/>
      <c r="G32" s="10"/>
      <c r="H32" s="12" t="s">
        <v>72</v>
      </c>
      <c r="I32" s="10">
        <v>77</v>
      </c>
      <c r="J32" s="10">
        <v>83</v>
      </c>
      <c r="K32" s="10">
        <v>101</v>
      </c>
      <c r="L32" s="10">
        <v>112</v>
      </c>
      <c r="M32" s="10">
        <v>300</v>
      </c>
      <c r="N32" s="10">
        <v>207</v>
      </c>
      <c r="O32" s="10">
        <v>412</v>
      </c>
      <c r="P32" s="10">
        <v>471</v>
      </c>
      <c r="Q32" s="10">
        <v>471</v>
      </c>
      <c r="R32" s="10">
        <v>20</v>
      </c>
      <c r="S32" s="10">
        <v>47</v>
      </c>
      <c r="T32" s="1"/>
      <c r="U32" s="1"/>
      <c r="V32" s="1"/>
      <c r="W32" s="1"/>
      <c r="X32" s="1"/>
      <c r="Y32" s="1"/>
      <c r="Z32" s="1"/>
    </row>
    <row r="33" spans="1:26" ht="15.75" customHeight="1">
      <c r="A33" s="67">
        <v>28</v>
      </c>
      <c r="B33" s="10" t="s">
        <v>28</v>
      </c>
      <c r="C33" s="10" t="s">
        <v>71</v>
      </c>
      <c r="D33" s="10" t="s">
        <v>36</v>
      </c>
      <c r="E33" s="10"/>
      <c r="F33" s="10"/>
      <c r="G33" s="10"/>
      <c r="H33" s="12" t="s">
        <v>73</v>
      </c>
      <c r="I33" s="10">
        <v>77</v>
      </c>
      <c r="J33" s="10">
        <v>83</v>
      </c>
      <c r="K33" s="10">
        <v>101</v>
      </c>
      <c r="L33" s="10">
        <v>112</v>
      </c>
      <c r="M33" s="10">
        <v>300</v>
      </c>
      <c r="N33" s="10">
        <v>207</v>
      </c>
      <c r="O33" s="10">
        <v>412</v>
      </c>
      <c r="P33" s="10">
        <v>471</v>
      </c>
      <c r="Q33" s="10">
        <v>471</v>
      </c>
      <c r="R33" s="10">
        <v>20</v>
      </c>
      <c r="S33" s="10">
        <v>47</v>
      </c>
      <c r="T33" s="1"/>
      <c r="U33" s="1"/>
      <c r="V33" s="1"/>
      <c r="W33" s="1"/>
      <c r="X33" s="1"/>
      <c r="Y33" s="1"/>
      <c r="Z33" s="1"/>
    </row>
    <row r="34" spans="1:26" ht="15.75" customHeight="1">
      <c r="A34" s="67">
        <v>29</v>
      </c>
      <c r="B34" s="10" t="s">
        <v>50</v>
      </c>
      <c r="C34" s="10" t="s">
        <v>74</v>
      </c>
      <c r="D34" s="10" t="s">
        <v>36</v>
      </c>
      <c r="E34" s="10"/>
      <c r="F34" s="10"/>
      <c r="G34" s="10"/>
      <c r="H34" s="12" t="s">
        <v>75</v>
      </c>
      <c r="I34" s="18">
        <v>35</v>
      </c>
      <c r="J34" s="18">
        <v>35</v>
      </c>
      <c r="K34" s="18">
        <v>47</v>
      </c>
      <c r="L34" s="18">
        <v>47</v>
      </c>
      <c r="M34" s="18">
        <v>100</v>
      </c>
      <c r="N34" s="18">
        <v>1</v>
      </c>
      <c r="O34" s="18">
        <v>1</v>
      </c>
      <c r="P34" s="18">
        <v>1</v>
      </c>
      <c r="Q34" s="18">
        <v>1</v>
      </c>
      <c r="R34" s="18">
        <v>20</v>
      </c>
      <c r="S34" s="18">
        <v>47</v>
      </c>
      <c r="T34" s="1"/>
      <c r="U34" s="1"/>
      <c r="V34" s="1"/>
      <c r="W34" s="1"/>
      <c r="X34" s="1"/>
      <c r="Y34" s="1"/>
      <c r="Z34" s="1"/>
    </row>
    <row r="35" spans="1:26" ht="15.75" customHeight="1">
      <c r="A35" s="67">
        <v>30</v>
      </c>
      <c r="B35" s="10" t="s">
        <v>28</v>
      </c>
      <c r="C35" s="10" t="s">
        <v>76</v>
      </c>
      <c r="D35" s="10" t="s">
        <v>36</v>
      </c>
      <c r="E35" s="10"/>
      <c r="F35" s="10"/>
      <c r="G35" s="10"/>
      <c r="H35" s="12" t="s">
        <v>77</v>
      </c>
      <c r="I35" s="10">
        <v>113</v>
      </c>
      <c r="J35" s="13">
        <v>119</v>
      </c>
      <c r="K35" s="13">
        <v>137</v>
      </c>
      <c r="L35" s="13">
        <v>148</v>
      </c>
      <c r="M35" s="13">
        <v>325</v>
      </c>
      <c r="N35" s="10">
        <v>442</v>
      </c>
      <c r="O35" s="10">
        <v>709</v>
      </c>
      <c r="P35" s="13">
        <v>677</v>
      </c>
      <c r="Q35" s="13">
        <v>677</v>
      </c>
      <c r="R35" s="10">
        <v>40</v>
      </c>
      <c r="S35" s="10">
        <v>65</v>
      </c>
      <c r="T35" s="1"/>
      <c r="U35" s="1"/>
      <c r="V35" s="1"/>
      <c r="W35" s="1"/>
      <c r="X35" s="1"/>
      <c r="Y35" s="1"/>
      <c r="Z35" s="1"/>
    </row>
    <row r="36" spans="1:26" ht="15.75" customHeight="1">
      <c r="A36" s="67">
        <v>31</v>
      </c>
      <c r="B36" s="10" t="s">
        <v>28</v>
      </c>
      <c r="C36" s="10" t="s">
        <v>78</v>
      </c>
      <c r="D36" s="10" t="s">
        <v>30</v>
      </c>
      <c r="E36" s="10"/>
      <c r="F36" s="10"/>
      <c r="G36" s="10"/>
      <c r="H36" s="12" t="s">
        <v>79</v>
      </c>
      <c r="I36" s="10">
        <v>77</v>
      </c>
      <c r="J36" s="10">
        <v>83</v>
      </c>
      <c r="K36" s="10">
        <v>101</v>
      </c>
      <c r="L36" s="10">
        <v>112</v>
      </c>
      <c r="M36" s="10">
        <v>265</v>
      </c>
      <c r="N36" s="10">
        <v>354</v>
      </c>
      <c r="O36" s="10">
        <v>412</v>
      </c>
      <c r="P36" s="10">
        <v>471</v>
      </c>
      <c r="Q36" s="10">
        <v>471</v>
      </c>
      <c r="R36" s="10">
        <v>20</v>
      </c>
      <c r="S36" s="10">
        <v>47</v>
      </c>
      <c r="T36" s="1"/>
      <c r="U36" s="1"/>
      <c r="V36" s="1"/>
      <c r="W36" s="1"/>
      <c r="X36" s="1"/>
      <c r="Y36" s="1"/>
      <c r="Z36" s="1"/>
    </row>
    <row r="37" spans="1:26" ht="15.75" customHeight="1">
      <c r="A37" s="67">
        <v>32</v>
      </c>
      <c r="B37" s="10" t="s">
        <v>28</v>
      </c>
      <c r="C37" s="10" t="s">
        <v>78</v>
      </c>
      <c r="D37" s="10" t="s">
        <v>36</v>
      </c>
      <c r="E37" s="10"/>
      <c r="F37" s="10"/>
      <c r="G37" s="10"/>
      <c r="H37" s="12" t="s">
        <v>80</v>
      </c>
      <c r="I37" s="10">
        <v>113</v>
      </c>
      <c r="J37" s="13">
        <v>119</v>
      </c>
      <c r="K37" s="13">
        <v>137</v>
      </c>
      <c r="L37" s="13">
        <v>148</v>
      </c>
      <c r="M37" s="13">
        <v>325</v>
      </c>
      <c r="N37" s="10">
        <v>442</v>
      </c>
      <c r="O37" s="10">
        <v>709</v>
      </c>
      <c r="P37" s="13">
        <v>677</v>
      </c>
      <c r="Q37" s="13">
        <v>677</v>
      </c>
      <c r="R37" s="10">
        <v>40</v>
      </c>
      <c r="S37" s="10">
        <v>65</v>
      </c>
      <c r="T37" s="1"/>
      <c r="U37" s="1"/>
      <c r="V37" s="1"/>
      <c r="W37" s="1"/>
      <c r="X37" s="1"/>
      <c r="Y37" s="1"/>
      <c r="Z37" s="1"/>
    </row>
    <row r="38" spans="1:26" ht="15.75" customHeight="1">
      <c r="A38" s="67">
        <v>33</v>
      </c>
      <c r="B38" s="10" t="s">
        <v>28</v>
      </c>
      <c r="C38" s="10" t="s">
        <v>81</v>
      </c>
      <c r="D38" s="10" t="s">
        <v>30</v>
      </c>
      <c r="E38" s="10"/>
      <c r="F38" s="10"/>
      <c r="G38" s="10"/>
      <c r="H38" s="12" t="s">
        <v>82</v>
      </c>
      <c r="I38" s="10">
        <v>77</v>
      </c>
      <c r="J38" s="10">
        <v>83</v>
      </c>
      <c r="K38" s="10">
        <v>101</v>
      </c>
      <c r="L38" s="10">
        <v>112</v>
      </c>
      <c r="M38" s="10">
        <v>295</v>
      </c>
      <c r="N38" s="10">
        <v>383</v>
      </c>
      <c r="O38" s="10">
        <v>442</v>
      </c>
      <c r="P38" s="10">
        <v>500</v>
      </c>
      <c r="Q38" s="13">
        <v>500</v>
      </c>
      <c r="R38" s="10">
        <v>20</v>
      </c>
      <c r="S38" s="10">
        <v>47</v>
      </c>
      <c r="T38" s="1"/>
      <c r="U38" s="1"/>
      <c r="V38" s="1"/>
      <c r="W38" s="1"/>
      <c r="X38" s="1"/>
      <c r="Y38" s="1"/>
      <c r="Z38" s="1"/>
    </row>
    <row r="39" spans="1:26" ht="15.75" customHeight="1">
      <c r="A39" s="67">
        <v>34</v>
      </c>
      <c r="B39" s="10" t="s">
        <v>28</v>
      </c>
      <c r="C39" s="10" t="s">
        <v>81</v>
      </c>
      <c r="D39" s="10" t="s">
        <v>36</v>
      </c>
      <c r="E39" s="10"/>
      <c r="F39" s="10"/>
      <c r="G39" s="10"/>
      <c r="H39" s="12" t="s">
        <v>83</v>
      </c>
      <c r="I39" s="10">
        <v>113</v>
      </c>
      <c r="J39" s="13">
        <v>119</v>
      </c>
      <c r="K39" s="13">
        <v>137</v>
      </c>
      <c r="L39" s="13">
        <v>148</v>
      </c>
      <c r="M39" s="13">
        <v>355</v>
      </c>
      <c r="N39" s="10">
        <v>471</v>
      </c>
      <c r="O39" s="10">
        <v>768</v>
      </c>
      <c r="P39" s="13">
        <v>706</v>
      </c>
      <c r="Q39" s="13">
        <v>706</v>
      </c>
      <c r="R39" s="10">
        <v>40</v>
      </c>
      <c r="S39" s="10">
        <v>65</v>
      </c>
      <c r="T39" s="1"/>
      <c r="U39" s="1"/>
      <c r="V39" s="1"/>
      <c r="W39" s="1"/>
      <c r="X39" s="1"/>
      <c r="Y39" s="1"/>
      <c r="Z39" s="1"/>
    </row>
    <row r="40" spans="1:26" ht="15.75" customHeight="1">
      <c r="A40" s="67">
        <v>35</v>
      </c>
      <c r="B40" s="10" t="s">
        <v>28</v>
      </c>
      <c r="C40" s="10" t="s">
        <v>84</v>
      </c>
      <c r="D40" s="10" t="s">
        <v>30</v>
      </c>
      <c r="E40" s="10"/>
      <c r="F40" s="10"/>
      <c r="G40" s="10"/>
      <c r="H40" s="12" t="s">
        <v>85</v>
      </c>
      <c r="I40" s="10">
        <v>77</v>
      </c>
      <c r="J40" s="10">
        <v>83</v>
      </c>
      <c r="K40" s="10">
        <v>101</v>
      </c>
      <c r="L40" s="10">
        <v>112</v>
      </c>
      <c r="M40" s="10">
        <v>295</v>
      </c>
      <c r="N40" s="10">
        <v>383</v>
      </c>
      <c r="O40" s="10">
        <v>442</v>
      </c>
      <c r="P40" s="10">
        <v>500</v>
      </c>
      <c r="Q40" s="13">
        <v>500</v>
      </c>
      <c r="R40" s="10">
        <v>20</v>
      </c>
      <c r="S40" s="10">
        <v>47</v>
      </c>
      <c r="T40" s="1"/>
      <c r="U40" s="1"/>
      <c r="V40" s="1"/>
      <c r="W40" s="1"/>
      <c r="X40" s="1"/>
      <c r="Y40" s="1"/>
      <c r="Z40" s="1"/>
    </row>
    <row r="41" spans="1:26" ht="15.75" customHeight="1">
      <c r="A41" s="67">
        <v>36</v>
      </c>
      <c r="B41" s="10" t="s">
        <v>28</v>
      </c>
      <c r="C41" s="10" t="s">
        <v>84</v>
      </c>
      <c r="D41" s="10" t="s">
        <v>36</v>
      </c>
      <c r="E41" s="10"/>
      <c r="F41" s="10"/>
      <c r="G41" s="10"/>
      <c r="H41" s="12" t="s">
        <v>86</v>
      </c>
      <c r="I41" s="10">
        <v>113</v>
      </c>
      <c r="J41" s="13">
        <v>119</v>
      </c>
      <c r="K41" s="13">
        <v>137</v>
      </c>
      <c r="L41" s="13">
        <v>148</v>
      </c>
      <c r="M41" s="13">
        <v>355</v>
      </c>
      <c r="N41" s="10">
        <v>471</v>
      </c>
      <c r="O41" s="10">
        <v>768</v>
      </c>
      <c r="P41" s="13">
        <v>706</v>
      </c>
      <c r="Q41" s="13">
        <v>706</v>
      </c>
      <c r="R41" s="10">
        <v>40</v>
      </c>
      <c r="S41" s="10">
        <v>65</v>
      </c>
      <c r="T41" s="1"/>
      <c r="U41" s="1"/>
      <c r="V41" s="1"/>
      <c r="W41" s="1"/>
      <c r="X41" s="1"/>
      <c r="Y41" s="1"/>
      <c r="Z41" s="1"/>
    </row>
    <row r="42" spans="1:26" ht="15.75" customHeight="1">
      <c r="A42" s="67">
        <v>37</v>
      </c>
      <c r="B42" s="10" t="s">
        <v>50</v>
      </c>
      <c r="C42" s="10" t="s">
        <v>53</v>
      </c>
      <c r="D42" s="10" t="s">
        <v>30</v>
      </c>
      <c r="E42" s="10"/>
      <c r="F42" s="10"/>
      <c r="G42" s="10"/>
      <c r="H42" s="12" t="s">
        <v>87</v>
      </c>
      <c r="I42" s="10">
        <v>30</v>
      </c>
      <c r="J42" s="10">
        <v>36</v>
      </c>
      <c r="K42" s="10">
        <v>47</v>
      </c>
      <c r="L42" s="10">
        <v>59</v>
      </c>
      <c r="M42" s="10">
        <v>100</v>
      </c>
      <c r="N42" s="10">
        <v>120</v>
      </c>
      <c r="O42" s="10">
        <v>120</v>
      </c>
      <c r="P42" s="10">
        <v>200</v>
      </c>
      <c r="Q42" s="10">
        <v>200</v>
      </c>
      <c r="R42" s="10">
        <v>20</v>
      </c>
      <c r="S42" s="10">
        <v>47</v>
      </c>
      <c r="T42" s="1"/>
      <c r="U42" s="1"/>
      <c r="V42" s="1"/>
      <c r="W42" s="1"/>
      <c r="X42" s="1"/>
      <c r="Y42" s="1"/>
      <c r="Z42" s="1"/>
    </row>
    <row r="43" spans="1:26" ht="15.75" customHeight="1">
      <c r="A43" s="67">
        <v>38</v>
      </c>
      <c r="B43" s="10" t="s">
        <v>50</v>
      </c>
      <c r="C43" s="10" t="s">
        <v>76</v>
      </c>
      <c r="D43" s="10" t="s">
        <v>30</v>
      </c>
      <c r="E43" s="10"/>
      <c r="F43" s="10"/>
      <c r="G43" s="10"/>
      <c r="H43" s="12" t="s">
        <v>88</v>
      </c>
      <c r="I43" s="10">
        <v>30</v>
      </c>
      <c r="J43" s="10">
        <v>36</v>
      </c>
      <c r="K43" s="10">
        <v>47</v>
      </c>
      <c r="L43" s="10">
        <v>59</v>
      </c>
      <c r="M43" s="10">
        <v>100</v>
      </c>
      <c r="N43" s="10">
        <v>120</v>
      </c>
      <c r="O43" s="10">
        <v>147</v>
      </c>
      <c r="P43" s="10">
        <v>177</v>
      </c>
      <c r="Q43" s="10">
        <v>177</v>
      </c>
      <c r="R43" s="10">
        <v>20</v>
      </c>
      <c r="S43" s="10">
        <v>47</v>
      </c>
      <c r="T43" s="1"/>
      <c r="U43" s="1"/>
      <c r="V43" s="1"/>
      <c r="W43" s="1"/>
      <c r="X43" s="1"/>
      <c r="Y43" s="1"/>
      <c r="Z43" s="1"/>
    </row>
    <row r="44" spans="1:26" ht="15.75" customHeight="1">
      <c r="A44" s="67">
        <v>39</v>
      </c>
      <c r="B44" s="10" t="s">
        <v>28</v>
      </c>
      <c r="C44" s="14" t="s">
        <v>89</v>
      </c>
      <c r="D44" s="10" t="s">
        <v>30</v>
      </c>
      <c r="E44" s="10"/>
      <c r="F44" s="10"/>
      <c r="G44" s="10"/>
      <c r="H44" s="12" t="s">
        <v>90</v>
      </c>
      <c r="I44" s="10">
        <v>30</v>
      </c>
      <c r="J44" s="10">
        <v>36</v>
      </c>
      <c r="K44" s="10">
        <v>47</v>
      </c>
      <c r="L44" s="10">
        <v>59</v>
      </c>
      <c r="M44" s="10">
        <v>165</v>
      </c>
      <c r="N44" s="10">
        <v>236</v>
      </c>
      <c r="O44" s="10">
        <v>295</v>
      </c>
      <c r="P44" s="10">
        <v>354</v>
      </c>
      <c r="Q44" s="10">
        <v>354</v>
      </c>
      <c r="R44" s="10">
        <v>20</v>
      </c>
      <c r="S44" s="10">
        <v>47</v>
      </c>
      <c r="T44" s="1"/>
      <c r="U44" s="1"/>
      <c r="V44" s="1"/>
      <c r="W44" s="1"/>
      <c r="X44" s="1"/>
      <c r="Y44" s="1"/>
      <c r="Z44" s="1"/>
    </row>
    <row r="45" spans="1:26" ht="15.75" customHeight="1">
      <c r="A45" s="67">
        <v>40</v>
      </c>
      <c r="B45" s="10" t="s">
        <v>28</v>
      </c>
      <c r="C45" s="10" t="s">
        <v>91</v>
      </c>
      <c r="D45" s="10" t="s">
        <v>92</v>
      </c>
      <c r="E45" s="10"/>
      <c r="F45" s="10"/>
      <c r="G45" s="10"/>
      <c r="H45" s="12" t="s">
        <v>93</v>
      </c>
      <c r="I45" s="10">
        <v>65</v>
      </c>
      <c r="J45" s="10">
        <v>71</v>
      </c>
      <c r="K45" s="10">
        <v>112</v>
      </c>
      <c r="L45" s="10">
        <v>124</v>
      </c>
      <c r="M45" s="10">
        <v>324</v>
      </c>
      <c r="N45" s="10">
        <v>412</v>
      </c>
      <c r="O45" s="10">
        <v>471</v>
      </c>
      <c r="P45" s="10">
        <v>530</v>
      </c>
      <c r="Q45" s="10">
        <v>530</v>
      </c>
      <c r="R45" s="10">
        <v>40</v>
      </c>
      <c r="S45" s="10">
        <v>47</v>
      </c>
      <c r="T45" s="1"/>
      <c r="U45" s="1"/>
      <c r="V45" s="1"/>
      <c r="W45" s="1"/>
      <c r="X45" s="1"/>
      <c r="Y45" s="1"/>
      <c r="Z45" s="1"/>
    </row>
    <row r="46" spans="1:26" ht="15.75" customHeight="1">
      <c r="A46" s="67">
        <v>41</v>
      </c>
      <c r="B46" s="10" t="s">
        <v>28</v>
      </c>
      <c r="C46" s="10" t="s">
        <v>94</v>
      </c>
      <c r="D46" s="10" t="s">
        <v>95</v>
      </c>
      <c r="E46" s="10"/>
      <c r="F46" s="10"/>
      <c r="G46" s="10"/>
      <c r="H46" s="12" t="s">
        <v>96</v>
      </c>
      <c r="I46" s="10">
        <v>89</v>
      </c>
      <c r="J46" s="10">
        <v>95</v>
      </c>
      <c r="K46" s="10">
        <v>112</v>
      </c>
      <c r="L46" s="10">
        <v>124</v>
      </c>
      <c r="M46" s="10">
        <v>324</v>
      </c>
      <c r="N46" s="10">
        <v>412</v>
      </c>
      <c r="O46" s="10">
        <v>471</v>
      </c>
      <c r="P46" s="10">
        <v>530</v>
      </c>
      <c r="Q46" s="10">
        <v>530</v>
      </c>
      <c r="R46" s="10">
        <v>40</v>
      </c>
      <c r="S46" s="10">
        <v>47</v>
      </c>
      <c r="T46" s="1"/>
      <c r="U46" s="1"/>
      <c r="V46" s="1"/>
      <c r="W46" s="1"/>
      <c r="X46" s="1"/>
      <c r="Y46" s="1"/>
      <c r="Z46" s="1"/>
    </row>
    <row r="47" spans="1:26" ht="15.75" customHeight="1">
      <c r="A47" s="67">
        <v>42</v>
      </c>
      <c r="B47" s="10" t="s">
        <v>50</v>
      </c>
      <c r="C47" s="10" t="s">
        <v>97</v>
      </c>
      <c r="D47" s="10" t="s">
        <v>30</v>
      </c>
      <c r="E47" s="10"/>
      <c r="F47" s="10"/>
      <c r="G47" s="10"/>
      <c r="H47" s="12" t="s">
        <v>98</v>
      </c>
      <c r="I47" s="10">
        <v>71</v>
      </c>
      <c r="J47" s="10">
        <v>77</v>
      </c>
      <c r="K47" s="10">
        <v>89</v>
      </c>
      <c r="L47" s="10">
        <v>101</v>
      </c>
      <c r="M47" s="10">
        <v>147</v>
      </c>
      <c r="N47" s="10">
        <v>165</v>
      </c>
      <c r="O47" s="10">
        <v>177</v>
      </c>
      <c r="P47" s="10">
        <v>206</v>
      </c>
      <c r="Q47" s="10">
        <v>206</v>
      </c>
      <c r="R47" s="10">
        <v>20</v>
      </c>
      <c r="S47" s="10">
        <v>47</v>
      </c>
      <c r="T47" s="1"/>
      <c r="U47" s="1"/>
      <c r="V47" s="1"/>
      <c r="W47" s="1"/>
      <c r="X47" s="1"/>
      <c r="Y47" s="1"/>
      <c r="Z47" s="1"/>
    </row>
    <row r="48" spans="1:26" ht="15.75" customHeight="1">
      <c r="A48" s="67">
        <v>43</v>
      </c>
      <c r="B48" s="10" t="s">
        <v>76</v>
      </c>
      <c r="C48" s="10" t="s">
        <v>78</v>
      </c>
      <c r="D48" s="10" t="s">
        <v>30</v>
      </c>
      <c r="E48" s="10"/>
      <c r="F48" s="10"/>
      <c r="G48" s="10"/>
      <c r="H48" s="12" t="s">
        <v>99</v>
      </c>
      <c r="I48" s="10">
        <v>59</v>
      </c>
      <c r="J48" s="10">
        <v>65</v>
      </c>
      <c r="K48" s="10">
        <v>71</v>
      </c>
      <c r="L48" s="10">
        <v>83</v>
      </c>
      <c r="M48" s="10">
        <v>118</v>
      </c>
      <c r="N48" s="10">
        <v>130</v>
      </c>
      <c r="O48" s="10">
        <v>147</v>
      </c>
      <c r="P48" s="10">
        <v>177</v>
      </c>
      <c r="Q48" s="10">
        <v>177</v>
      </c>
      <c r="R48" s="10">
        <v>20</v>
      </c>
      <c r="S48" s="10">
        <v>47</v>
      </c>
      <c r="T48" s="1"/>
      <c r="U48" s="1"/>
      <c r="V48" s="1"/>
      <c r="W48" s="1"/>
      <c r="X48" s="1"/>
      <c r="Y48" s="1"/>
      <c r="Z48" s="1"/>
    </row>
    <row r="49" spans="1:26" ht="15.75" customHeight="1">
      <c r="A49" s="67">
        <v>44</v>
      </c>
      <c r="B49" s="10" t="s">
        <v>22</v>
      </c>
      <c r="C49" s="10" t="s">
        <v>100</v>
      </c>
      <c r="D49" s="10" t="s">
        <v>101</v>
      </c>
      <c r="E49" s="11"/>
      <c r="F49" s="10"/>
      <c r="G49" s="10"/>
      <c r="H49" s="12" t="s">
        <v>102</v>
      </c>
      <c r="I49" s="10">
        <v>41</v>
      </c>
      <c r="J49" s="10">
        <v>47</v>
      </c>
      <c r="K49" s="10">
        <v>47</v>
      </c>
      <c r="L49" s="10">
        <v>59</v>
      </c>
      <c r="M49" s="10">
        <v>130</v>
      </c>
      <c r="N49" s="10">
        <v>147</v>
      </c>
      <c r="O49" s="10">
        <v>177</v>
      </c>
      <c r="P49" s="10">
        <v>206</v>
      </c>
      <c r="Q49" s="10">
        <v>206</v>
      </c>
      <c r="R49" s="10">
        <v>20</v>
      </c>
      <c r="S49" s="10">
        <v>47</v>
      </c>
      <c r="T49" s="1"/>
      <c r="U49" s="1"/>
      <c r="V49" s="1"/>
      <c r="W49" s="1"/>
      <c r="X49" s="1"/>
      <c r="Y49" s="1"/>
      <c r="Z49" s="1"/>
    </row>
    <row r="50" spans="1:26" ht="15.75" customHeight="1">
      <c r="A50" s="67">
        <v>45</v>
      </c>
      <c r="B50" s="10" t="s">
        <v>22</v>
      </c>
      <c r="C50" s="10" t="s">
        <v>103</v>
      </c>
      <c r="D50" s="10" t="s">
        <v>101</v>
      </c>
      <c r="E50" s="11"/>
      <c r="F50" s="10"/>
      <c r="G50" s="10"/>
      <c r="H50" s="12" t="s">
        <v>104</v>
      </c>
      <c r="I50" s="10">
        <v>41</v>
      </c>
      <c r="J50" s="10">
        <v>47</v>
      </c>
      <c r="K50" s="10">
        <v>47</v>
      </c>
      <c r="L50" s="10">
        <v>59</v>
      </c>
      <c r="M50" s="10">
        <v>130</v>
      </c>
      <c r="N50" s="10">
        <v>147</v>
      </c>
      <c r="O50" s="10">
        <v>177</v>
      </c>
      <c r="P50" s="10">
        <v>206</v>
      </c>
      <c r="Q50" s="10">
        <v>206</v>
      </c>
      <c r="R50" s="10">
        <v>20</v>
      </c>
      <c r="S50" s="10">
        <v>47</v>
      </c>
      <c r="T50" s="1"/>
      <c r="U50" s="1"/>
      <c r="V50" s="1"/>
      <c r="W50" s="1"/>
      <c r="X50" s="1"/>
      <c r="Y50" s="1"/>
      <c r="Z50" s="1"/>
    </row>
    <row r="51" spans="1:26" ht="15.75" customHeight="1">
      <c r="A51" s="67">
        <v>46</v>
      </c>
      <c r="B51" s="10" t="s">
        <v>22</v>
      </c>
      <c r="C51" s="10" t="s">
        <v>105</v>
      </c>
      <c r="D51" s="10" t="s">
        <v>101</v>
      </c>
      <c r="E51" s="11"/>
      <c r="F51" s="10"/>
      <c r="G51" s="10"/>
      <c r="H51" s="12" t="s">
        <v>106</v>
      </c>
      <c r="I51" s="10">
        <v>41</v>
      </c>
      <c r="J51" s="10">
        <v>47</v>
      </c>
      <c r="K51" s="10">
        <v>47</v>
      </c>
      <c r="L51" s="10">
        <v>59</v>
      </c>
      <c r="M51" s="10">
        <v>130</v>
      </c>
      <c r="N51" s="10">
        <v>147</v>
      </c>
      <c r="O51" s="10">
        <v>177</v>
      </c>
      <c r="P51" s="10">
        <v>206</v>
      </c>
      <c r="Q51" s="10">
        <v>206</v>
      </c>
      <c r="R51" s="10">
        <v>20</v>
      </c>
      <c r="S51" s="10">
        <v>47</v>
      </c>
      <c r="T51" s="1"/>
      <c r="U51" s="1"/>
      <c r="V51" s="1"/>
      <c r="W51" s="1"/>
      <c r="X51" s="1"/>
      <c r="Y51" s="1"/>
      <c r="Z51" s="1"/>
    </row>
    <row r="52" spans="1:26" ht="15.75" customHeight="1">
      <c r="A52" s="67">
        <v>47</v>
      </c>
      <c r="B52" s="10" t="s">
        <v>22</v>
      </c>
      <c r="C52" s="10" t="s">
        <v>107</v>
      </c>
      <c r="D52" s="10" t="s">
        <v>101</v>
      </c>
      <c r="E52" s="11"/>
      <c r="F52" s="10"/>
      <c r="G52" s="10"/>
      <c r="H52" s="12" t="s">
        <v>108</v>
      </c>
      <c r="I52" s="10">
        <v>41</v>
      </c>
      <c r="J52" s="10">
        <v>47</v>
      </c>
      <c r="K52" s="10">
        <v>47</v>
      </c>
      <c r="L52" s="10">
        <v>59</v>
      </c>
      <c r="M52" s="10">
        <v>130</v>
      </c>
      <c r="N52" s="10">
        <v>147</v>
      </c>
      <c r="O52" s="10">
        <v>177</v>
      </c>
      <c r="P52" s="10">
        <v>206</v>
      </c>
      <c r="Q52" s="10">
        <v>206</v>
      </c>
      <c r="R52" s="10">
        <v>20</v>
      </c>
      <c r="S52" s="10">
        <v>47</v>
      </c>
      <c r="T52" s="1"/>
      <c r="U52" s="1"/>
      <c r="V52" s="1"/>
      <c r="W52" s="1"/>
      <c r="X52" s="1"/>
      <c r="Y52" s="1"/>
      <c r="Z52" s="1"/>
    </row>
    <row r="53" spans="1:26" ht="15.75" customHeight="1">
      <c r="A53" s="67">
        <v>48</v>
      </c>
      <c r="B53" s="10" t="s">
        <v>22</v>
      </c>
      <c r="C53" s="10" t="s">
        <v>109</v>
      </c>
      <c r="D53" s="10" t="s">
        <v>101</v>
      </c>
      <c r="E53" s="11"/>
      <c r="F53" s="10"/>
      <c r="G53" s="10"/>
      <c r="H53" s="12" t="s">
        <v>110</v>
      </c>
      <c r="I53" s="10">
        <v>41</v>
      </c>
      <c r="J53" s="10">
        <v>47</v>
      </c>
      <c r="K53" s="10">
        <v>47</v>
      </c>
      <c r="L53" s="10">
        <v>59</v>
      </c>
      <c r="M53" s="10">
        <v>130</v>
      </c>
      <c r="N53" s="10">
        <v>147</v>
      </c>
      <c r="O53" s="10">
        <v>177</v>
      </c>
      <c r="P53" s="10">
        <v>206</v>
      </c>
      <c r="Q53" s="10">
        <v>206</v>
      </c>
      <c r="R53" s="10">
        <v>20</v>
      </c>
      <c r="S53" s="10">
        <v>47</v>
      </c>
      <c r="T53" s="1"/>
      <c r="U53" s="1"/>
      <c r="V53" s="1"/>
      <c r="W53" s="1"/>
      <c r="X53" s="1"/>
      <c r="Y53" s="1"/>
      <c r="Z53" s="1"/>
    </row>
    <row r="54" spans="1:26" ht="15.75" customHeight="1">
      <c r="A54" s="67">
        <v>49</v>
      </c>
      <c r="B54" s="10" t="s">
        <v>22</v>
      </c>
      <c r="C54" s="10" t="s">
        <v>111</v>
      </c>
      <c r="D54" s="10" t="s">
        <v>101</v>
      </c>
      <c r="E54" s="11"/>
      <c r="F54" s="10"/>
      <c r="G54" s="10"/>
      <c r="H54" s="12" t="s">
        <v>112</v>
      </c>
      <c r="I54" s="10">
        <v>36</v>
      </c>
      <c r="J54" s="10">
        <v>41</v>
      </c>
      <c r="K54" s="10">
        <v>47</v>
      </c>
      <c r="L54" s="10">
        <v>59</v>
      </c>
      <c r="M54" s="10">
        <v>189</v>
      </c>
      <c r="N54" s="10">
        <v>147</v>
      </c>
      <c r="O54" s="10">
        <v>177</v>
      </c>
      <c r="P54" s="10">
        <v>206</v>
      </c>
      <c r="Q54" s="10">
        <v>206</v>
      </c>
      <c r="R54" s="10">
        <v>20</v>
      </c>
      <c r="S54" s="10">
        <v>47</v>
      </c>
      <c r="T54" s="1"/>
      <c r="U54" s="1"/>
      <c r="V54" s="1"/>
      <c r="W54" s="1"/>
      <c r="X54" s="1"/>
      <c r="Y54" s="1"/>
      <c r="Z54" s="1"/>
    </row>
    <row r="55" spans="1:26" ht="15.75" customHeight="1">
      <c r="A55" s="67">
        <v>50</v>
      </c>
      <c r="B55" s="10" t="s">
        <v>22</v>
      </c>
      <c r="C55" s="10" t="s">
        <v>113</v>
      </c>
      <c r="D55" s="10" t="s">
        <v>101</v>
      </c>
      <c r="E55" s="11"/>
      <c r="F55" s="10"/>
      <c r="G55" s="10"/>
      <c r="H55" s="12" t="s">
        <v>114</v>
      </c>
      <c r="I55" s="10">
        <v>41</v>
      </c>
      <c r="J55" s="10">
        <v>41</v>
      </c>
      <c r="K55" s="10">
        <v>47</v>
      </c>
      <c r="L55" s="10">
        <v>59</v>
      </c>
      <c r="M55" s="10">
        <v>153</v>
      </c>
      <c r="N55" s="10">
        <v>177</v>
      </c>
      <c r="O55" s="10">
        <v>206</v>
      </c>
      <c r="P55" s="10">
        <v>236</v>
      </c>
      <c r="Q55" s="10">
        <v>236</v>
      </c>
      <c r="R55" s="10">
        <v>20</v>
      </c>
      <c r="S55" s="10">
        <v>47</v>
      </c>
      <c r="T55" s="1"/>
      <c r="U55" s="1"/>
      <c r="V55" s="1"/>
      <c r="W55" s="1"/>
      <c r="X55" s="1"/>
      <c r="Y55" s="1"/>
      <c r="Z55" s="1"/>
    </row>
    <row r="56" spans="1:26" ht="15.75" customHeight="1">
      <c r="A56" s="67">
        <v>51</v>
      </c>
      <c r="B56" s="10" t="s">
        <v>22</v>
      </c>
      <c r="C56" s="10" t="s">
        <v>115</v>
      </c>
      <c r="D56" s="10" t="s">
        <v>101</v>
      </c>
      <c r="E56" s="11"/>
      <c r="F56" s="10"/>
      <c r="G56" s="10"/>
      <c r="H56" s="12" t="s">
        <v>116</v>
      </c>
      <c r="I56" s="10">
        <v>41</v>
      </c>
      <c r="J56" s="10">
        <v>47</v>
      </c>
      <c r="K56" s="10">
        <v>47</v>
      </c>
      <c r="L56" s="10">
        <v>59</v>
      </c>
      <c r="M56" s="10">
        <v>130</v>
      </c>
      <c r="N56" s="10">
        <v>147</v>
      </c>
      <c r="O56" s="10">
        <v>177</v>
      </c>
      <c r="P56" s="10">
        <v>206</v>
      </c>
      <c r="Q56" s="10">
        <v>206</v>
      </c>
      <c r="R56" s="10">
        <v>20</v>
      </c>
      <c r="S56" s="10">
        <v>47</v>
      </c>
      <c r="T56" s="1"/>
      <c r="U56" s="1"/>
      <c r="V56" s="1"/>
      <c r="W56" s="1"/>
      <c r="X56" s="1"/>
      <c r="Y56" s="1"/>
      <c r="Z56" s="1"/>
    </row>
    <row r="57" spans="1:26" ht="15.75" customHeight="1">
      <c r="A57" s="67">
        <v>52</v>
      </c>
      <c r="B57" s="10" t="s">
        <v>22</v>
      </c>
      <c r="C57" s="10" t="s">
        <v>117</v>
      </c>
      <c r="D57" s="10" t="s">
        <v>101</v>
      </c>
      <c r="E57" s="11"/>
      <c r="F57" s="10"/>
      <c r="G57" s="10"/>
      <c r="H57" s="12" t="s">
        <v>118</v>
      </c>
      <c r="I57" s="10">
        <v>41</v>
      </c>
      <c r="J57" s="10">
        <v>32</v>
      </c>
      <c r="K57" s="10">
        <v>29</v>
      </c>
      <c r="L57" s="10">
        <v>31</v>
      </c>
      <c r="M57" s="10">
        <v>130</v>
      </c>
      <c r="N57" s="10">
        <v>147</v>
      </c>
      <c r="O57" s="10">
        <v>177</v>
      </c>
      <c r="P57" s="10">
        <v>206</v>
      </c>
      <c r="Q57" s="10">
        <v>206</v>
      </c>
      <c r="R57" s="10">
        <v>20</v>
      </c>
      <c r="S57" s="10">
        <v>47</v>
      </c>
      <c r="T57" s="1"/>
      <c r="U57" s="1"/>
      <c r="V57" s="1"/>
      <c r="W57" s="1"/>
      <c r="X57" s="1"/>
      <c r="Y57" s="1"/>
      <c r="Z57" s="1"/>
    </row>
    <row r="58" spans="1:26" ht="15.75" customHeight="1">
      <c r="A58" s="67">
        <v>53</v>
      </c>
      <c r="B58" s="10" t="s">
        <v>22</v>
      </c>
      <c r="C58" s="10" t="s">
        <v>119</v>
      </c>
      <c r="D58" s="10" t="s">
        <v>101</v>
      </c>
      <c r="E58" s="11"/>
      <c r="F58" s="10"/>
      <c r="G58" s="10"/>
      <c r="H58" s="12" t="s">
        <v>120</v>
      </c>
      <c r="I58" s="10">
        <v>41</v>
      </c>
      <c r="J58" s="10">
        <v>47</v>
      </c>
      <c r="K58" s="10">
        <v>47</v>
      </c>
      <c r="L58" s="10">
        <v>59</v>
      </c>
      <c r="M58" s="10">
        <v>130</v>
      </c>
      <c r="N58" s="10">
        <v>147</v>
      </c>
      <c r="O58" s="10">
        <v>177</v>
      </c>
      <c r="P58" s="10">
        <v>206</v>
      </c>
      <c r="Q58" s="10">
        <v>206</v>
      </c>
      <c r="R58" s="10">
        <v>20</v>
      </c>
      <c r="S58" s="10">
        <v>47</v>
      </c>
      <c r="T58" s="1"/>
      <c r="U58" s="1"/>
      <c r="V58" s="1"/>
      <c r="W58" s="1"/>
      <c r="X58" s="1"/>
      <c r="Y58" s="1"/>
      <c r="Z58" s="1"/>
    </row>
    <row r="59" spans="1:26" ht="15.75" customHeight="1">
      <c r="A59" s="67">
        <v>54</v>
      </c>
      <c r="B59" s="10" t="s">
        <v>22</v>
      </c>
      <c r="C59" s="10" t="s">
        <v>121</v>
      </c>
      <c r="D59" s="10" t="s">
        <v>101</v>
      </c>
      <c r="E59" s="11"/>
      <c r="F59" s="10"/>
      <c r="G59" s="10"/>
      <c r="H59" s="12" t="s">
        <v>122</v>
      </c>
      <c r="I59" s="10">
        <v>41</v>
      </c>
      <c r="J59" s="10">
        <v>47</v>
      </c>
      <c r="K59" s="10">
        <v>47</v>
      </c>
      <c r="L59" s="10">
        <v>59</v>
      </c>
      <c r="M59" s="10">
        <v>130</v>
      </c>
      <c r="N59" s="10">
        <v>147</v>
      </c>
      <c r="O59" s="10">
        <v>177</v>
      </c>
      <c r="P59" s="10">
        <v>206</v>
      </c>
      <c r="Q59" s="10">
        <v>206</v>
      </c>
      <c r="R59" s="10">
        <v>20</v>
      </c>
      <c r="S59" s="10">
        <v>47</v>
      </c>
      <c r="T59" s="1"/>
      <c r="U59" s="1"/>
      <c r="V59" s="1"/>
      <c r="W59" s="1"/>
      <c r="X59" s="1"/>
      <c r="Y59" s="1"/>
      <c r="Z59" s="1"/>
    </row>
    <row r="60" spans="1:26" ht="15.75" customHeight="1">
      <c r="A60" s="67">
        <v>55</v>
      </c>
      <c r="B60" s="10" t="s">
        <v>22</v>
      </c>
      <c r="C60" s="10" t="s">
        <v>123</v>
      </c>
      <c r="D60" s="10" t="s">
        <v>101</v>
      </c>
      <c r="E60" s="11"/>
      <c r="F60" s="10"/>
      <c r="G60" s="10"/>
      <c r="H60" s="12" t="s">
        <v>124</v>
      </c>
      <c r="I60" s="10">
        <v>41</v>
      </c>
      <c r="J60" s="10">
        <v>47</v>
      </c>
      <c r="K60" s="10">
        <v>47</v>
      </c>
      <c r="L60" s="10">
        <v>59</v>
      </c>
      <c r="M60" s="10">
        <v>130</v>
      </c>
      <c r="N60" s="10">
        <v>147</v>
      </c>
      <c r="O60" s="10">
        <v>177</v>
      </c>
      <c r="P60" s="10">
        <v>206</v>
      </c>
      <c r="Q60" s="10">
        <v>206</v>
      </c>
      <c r="R60" s="10">
        <v>20</v>
      </c>
      <c r="S60" s="10">
        <v>47</v>
      </c>
      <c r="T60" s="1"/>
      <c r="U60" s="1"/>
      <c r="V60" s="1"/>
      <c r="W60" s="1"/>
      <c r="X60" s="1"/>
      <c r="Y60" s="1"/>
      <c r="Z60" s="1"/>
    </row>
    <row r="61" spans="1:26" ht="15.75" customHeight="1">
      <c r="A61" s="67">
        <v>56</v>
      </c>
      <c r="B61" s="10" t="s">
        <v>22</v>
      </c>
      <c r="C61" s="10" t="s">
        <v>125</v>
      </c>
      <c r="D61" s="10" t="s">
        <v>101</v>
      </c>
      <c r="E61" s="11"/>
      <c r="F61" s="10"/>
      <c r="G61" s="10"/>
      <c r="H61" s="12" t="s">
        <v>126</v>
      </c>
      <c r="I61" s="10">
        <v>41</v>
      </c>
      <c r="J61" s="10">
        <v>47</v>
      </c>
      <c r="K61" s="10">
        <v>47</v>
      </c>
      <c r="L61" s="10">
        <v>59</v>
      </c>
      <c r="M61" s="10">
        <v>130</v>
      </c>
      <c r="N61" s="10">
        <v>147</v>
      </c>
      <c r="O61" s="10">
        <v>177</v>
      </c>
      <c r="P61" s="10">
        <v>206</v>
      </c>
      <c r="Q61" s="10">
        <v>206</v>
      </c>
      <c r="R61" s="10">
        <v>20</v>
      </c>
      <c r="S61" s="10">
        <v>47</v>
      </c>
      <c r="T61" s="1"/>
      <c r="U61" s="1"/>
      <c r="V61" s="1"/>
      <c r="W61" s="1"/>
      <c r="X61" s="1"/>
      <c r="Y61" s="1"/>
      <c r="Z61" s="1"/>
    </row>
    <row r="62" spans="1:26" ht="15.75" customHeight="1">
      <c r="A62" s="67">
        <v>57</v>
      </c>
      <c r="B62" s="10" t="s">
        <v>22</v>
      </c>
      <c r="C62" s="10" t="s">
        <v>127</v>
      </c>
      <c r="D62" s="10" t="s">
        <v>101</v>
      </c>
      <c r="E62" s="11"/>
      <c r="F62" s="10"/>
      <c r="G62" s="10"/>
      <c r="H62" s="12" t="s">
        <v>128</v>
      </c>
      <c r="I62" s="10">
        <v>41</v>
      </c>
      <c r="J62" s="10">
        <v>47</v>
      </c>
      <c r="K62" s="10">
        <v>47</v>
      </c>
      <c r="L62" s="10">
        <v>59</v>
      </c>
      <c r="M62" s="10">
        <v>118</v>
      </c>
      <c r="N62" s="10">
        <v>147</v>
      </c>
      <c r="O62" s="10">
        <v>177</v>
      </c>
      <c r="P62" s="10">
        <v>206</v>
      </c>
      <c r="Q62" s="10">
        <v>206</v>
      </c>
      <c r="R62" s="10">
        <v>20</v>
      </c>
      <c r="S62" s="10">
        <v>47</v>
      </c>
      <c r="T62" s="1"/>
      <c r="U62" s="1"/>
      <c r="V62" s="1"/>
      <c r="W62" s="1"/>
      <c r="X62" s="1"/>
      <c r="Y62" s="1"/>
      <c r="Z62" s="1"/>
    </row>
    <row r="63" spans="1:26" ht="15.75" customHeight="1">
      <c r="A63" s="67">
        <v>58</v>
      </c>
      <c r="B63" s="10" t="s">
        <v>22</v>
      </c>
      <c r="C63" s="10" t="s">
        <v>129</v>
      </c>
      <c r="D63" s="10" t="s">
        <v>101</v>
      </c>
      <c r="E63" s="11"/>
      <c r="F63" s="10"/>
      <c r="G63" s="10"/>
      <c r="H63" s="12" t="s">
        <v>130</v>
      </c>
      <c r="I63" s="10">
        <v>41</v>
      </c>
      <c r="J63" s="10">
        <v>47</v>
      </c>
      <c r="K63" s="10">
        <v>47</v>
      </c>
      <c r="L63" s="10">
        <v>59</v>
      </c>
      <c r="M63" s="10">
        <v>118</v>
      </c>
      <c r="N63" s="10">
        <v>147</v>
      </c>
      <c r="O63" s="10">
        <v>177</v>
      </c>
      <c r="P63" s="10">
        <v>206</v>
      </c>
      <c r="Q63" s="10">
        <v>206</v>
      </c>
      <c r="R63" s="10">
        <v>20</v>
      </c>
      <c r="S63" s="10">
        <v>47</v>
      </c>
      <c r="T63" s="1"/>
      <c r="U63" s="1"/>
      <c r="V63" s="1"/>
      <c r="W63" s="1"/>
      <c r="X63" s="1"/>
      <c r="Y63" s="1"/>
      <c r="Z63" s="1"/>
    </row>
    <row r="64" spans="1:26" ht="15.75" customHeight="1">
      <c r="A64" s="67">
        <v>59</v>
      </c>
      <c r="B64" s="10" t="s">
        <v>22</v>
      </c>
      <c r="C64" s="10" t="s">
        <v>131</v>
      </c>
      <c r="D64" s="10" t="s">
        <v>101</v>
      </c>
      <c r="E64" s="11"/>
      <c r="F64" s="10"/>
      <c r="G64" s="10"/>
      <c r="H64" s="12" t="s">
        <v>132</v>
      </c>
      <c r="I64" s="10">
        <v>41</v>
      </c>
      <c r="J64" s="10">
        <v>47</v>
      </c>
      <c r="K64" s="10">
        <v>47</v>
      </c>
      <c r="L64" s="10">
        <v>59</v>
      </c>
      <c r="M64" s="10">
        <v>118</v>
      </c>
      <c r="N64" s="10">
        <v>147</v>
      </c>
      <c r="O64" s="10">
        <v>177</v>
      </c>
      <c r="P64" s="10">
        <v>206</v>
      </c>
      <c r="Q64" s="10">
        <v>206</v>
      </c>
      <c r="R64" s="10">
        <v>20</v>
      </c>
      <c r="S64" s="10">
        <v>47</v>
      </c>
      <c r="T64" s="1"/>
      <c r="U64" s="1"/>
      <c r="V64" s="1"/>
      <c r="W64" s="1"/>
      <c r="X64" s="1"/>
      <c r="Y64" s="1"/>
      <c r="Z64" s="1"/>
    </row>
    <row r="65" spans="1:26" ht="15.75" customHeight="1">
      <c r="A65" s="67">
        <v>60</v>
      </c>
      <c r="B65" s="10" t="s">
        <v>22</v>
      </c>
      <c r="C65" s="10" t="s">
        <v>133</v>
      </c>
      <c r="D65" s="10" t="s">
        <v>101</v>
      </c>
      <c r="E65" s="11"/>
      <c r="F65" s="10"/>
      <c r="G65" s="10"/>
      <c r="H65" s="12" t="s">
        <v>134</v>
      </c>
      <c r="I65" s="10">
        <v>41</v>
      </c>
      <c r="J65" s="10">
        <v>47</v>
      </c>
      <c r="K65" s="10">
        <v>47</v>
      </c>
      <c r="L65" s="10">
        <v>59</v>
      </c>
      <c r="M65" s="10">
        <v>118</v>
      </c>
      <c r="N65" s="10">
        <v>147</v>
      </c>
      <c r="O65" s="10">
        <v>177</v>
      </c>
      <c r="P65" s="10">
        <v>206</v>
      </c>
      <c r="Q65" s="10">
        <v>206</v>
      </c>
      <c r="R65" s="10">
        <v>20</v>
      </c>
      <c r="S65" s="10">
        <v>47</v>
      </c>
      <c r="T65" s="1"/>
      <c r="U65" s="1"/>
      <c r="V65" s="1"/>
      <c r="W65" s="1"/>
      <c r="X65" s="1"/>
      <c r="Y65" s="1"/>
      <c r="Z65" s="1"/>
    </row>
    <row r="66" spans="1:26" ht="15.75" customHeight="1">
      <c r="A66" s="67">
        <v>61</v>
      </c>
      <c r="B66" s="10" t="s">
        <v>22</v>
      </c>
      <c r="C66" s="10" t="s">
        <v>135</v>
      </c>
      <c r="D66" s="10" t="s">
        <v>101</v>
      </c>
      <c r="E66" s="11"/>
      <c r="F66" s="10"/>
      <c r="G66" s="10"/>
      <c r="H66" s="12" t="s">
        <v>136</v>
      </c>
      <c r="I66" s="10">
        <v>41</v>
      </c>
      <c r="J66" s="10">
        <v>47</v>
      </c>
      <c r="K66" s="10">
        <v>47</v>
      </c>
      <c r="L66" s="10">
        <v>59</v>
      </c>
      <c r="M66" s="10">
        <v>118</v>
      </c>
      <c r="N66" s="10">
        <v>147</v>
      </c>
      <c r="O66" s="10">
        <v>177</v>
      </c>
      <c r="P66" s="10">
        <v>206</v>
      </c>
      <c r="Q66" s="10">
        <v>206</v>
      </c>
      <c r="R66" s="10">
        <v>20</v>
      </c>
      <c r="S66" s="10">
        <v>47</v>
      </c>
      <c r="T66" s="1"/>
      <c r="U66" s="1"/>
      <c r="V66" s="1"/>
      <c r="W66" s="1"/>
      <c r="X66" s="1"/>
      <c r="Y66" s="1"/>
      <c r="Z66" s="1"/>
    </row>
    <row r="67" spans="1:26" ht="15.75" customHeight="1">
      <c r="A67" s="67">
        <v>62</v>
      </c>
      <c r="B67" s="10" t="s">
        <v>22</v>
      </c>
      <c r="C67" s="10" t="s">
        <v>137</v>
      </c>
      <c r="D67" s="10" t="s">
        <v>101</v>
      </c>
      <c r="E67" s="11"/>
      <c r="F67" s="10"/>
      <c r="G67" s="10"/>
      <c r="H67" s="12" t="s">
        <v>138</v>
      </c>
      <c r="I67" s="10">
        <v>30</v>
      </c>
      <c r="J67" s="10">
        <v>36</v>
      </c>
      <c r="K67" s="10">
        <v>41</v>
      </c>
      <c r="L67" s="10">
        <v>53</v>
      </c>
      <c r="M67" s="10">
        <v>130</v>
      </c>
      <c r="N67" s="10">
        <v>147</v>
      </c>
      <c r="O67" s="10">
        <v>177</v>
      </c>
      <c r="P67" s="10">
        <v>206</v>
      </c>
      <c r="Q67" s="10">
        <v>206</v>
      </c>
      <c r="R67" s="10">
        <v>20</v>
      </c>
      <c r="S67" s="10">
        <v>47</v>
      </c>
      <c r="T67" s="1"/>
      <c r="U67" s="1"/>
      <c r="V67" s="1"/>
      <c r="W67" s="1"/>
      <c r="X67" s="1"/>
      <c r="Y67" s="1"/>
      <c r="Z67" s="1"/>
    </row>
    <row r="68" spans="1:26" ht="15.75" customHeight="1">
      <c r="A68" s="67">
        <v>63</v>
      </c>
      <c r="B68" s="10" t="s">
        <v>22</v>
      </c>
      <c r="C68" s="10" t="s">
        <v>139</v>
      </c>
      <c r="D68" s="10" t="s">
        <v>101</v>
      </c>
      <c r="E68" s="11"/>
      <c r="F68" s="10"/>
      <c r="G68" s="10"/>
      <c r="H68" s="12" t="s">
        <v>140</v>
      </c>
      <c r="I68" s="10">
        <v>41</v>
      </c>
      <c r="J68" s="10">
        <v>47</v>
      </c>
      <c r="K68" s="10">
        <v>47</v>
      </c>
      <c r="L68" s="10">
        <v>59</v>
      </c>
      <c r="M68" s="10">
        <v>118</v>
      </c>
      <c r="N68" s="10">
        <v>147</v>
      </c>
      <c r="O68" s="10">
        <v>177</v>
      </c>
      <c r="P68" s="10">
        <v>206</v>
      </c>
      <c r="Q68" s="10">
        <v>206</v>
      </c>
      <c r="R68" s="10">
        <v>20</v>
      </c>
      <c r="S68" s="10">
        <v>47</v>
      </c>
      <c r="T68" s="1"/>
      <c r="U68" s="1"/>
      <c r="V68" s="1"/>
      <c r="W68" s="1"/>
      <c r="X68" s="1"/>
      <c r="Y68" s="1"/>
      <c r="Z68" s="1"/>
    </row>
    <row r="69" spans="1:26" ht="15.75" customHeight="1">
      <c r="A69" s="67">
        <v>64</v>
      </c>
      <c r="B69" s="10" t="s">
        <v>22</v>
      </c>
      <c r="C69" s="10" t="s">
        <v>141</v>
      </c>
      <c r="D69" s="10" t="s">
        <v>101</v>
      </c>
      <c r="E69" s="11"/>
      <c r="F69" s="10"/>
      <c r="G69" s="10"/>
      <c r="H69" s="12" t="s">
        <v>142</v>
      </c>
      <c r="I69" s="10">
        <v>29</v>
      </c>
      <c r="J69" s="10">
        <v>32</v>
      </c>
      <c r="K69" s="10">
        <v>29</v>
      </c>
      <c r="L69" s="10">
        <v>31</v>
      </c>
      <c r="M69" s="10">
        <v>118</v>
      </c>
      <c r="N69" s="10">
        <v>147</v>
      </c>
      <c r="O69" s="10">
        <v>177</v>
      </c>
      <c r="P69" s="10">
        <v>206</v>
      </c>
      <c r="Q69" s="10">
        <v>206</v>
      </c>
      <c r="R69" s="10">
        <v>20</v>
      </c>
      <c r="S69" s="10">
        <v>47</v>
      </c>
      <c r="T69" s="1"/>
      <c r="U69" s="1"/>
      <c r="V69" s="1"/>
      <c r="W69" s="1"/>
      <c r="X69" s="1"/>
      <c r="Y69" s="1"/>
      <c r="Z69" s="1"/>
    </row>
    <row r="70" spans="1:26" ht="15.75" customHeight="1">
      <c r="A70" s="67">
        <v>65</v>
      </c>
      <c r="B70" s="10" t="s">
        <v>22</v>
      </c>
      <c r="C70" s="10" t="s">
        <v>143</v>
      </c>
      <c r="D70" s="10" t="s">
        <v>101</v>
      </c>
      <c r="E70" s="11"/>
      <c r="F70" s="10"/>
      <c r="G70" s="10"/>
      <c r="H70" s="12" t="s">
        <v>144</v>
      </c>
      <c r="I70" s="10">
        <v>41</v>
      </c>
      <c r="J70" s="10">
        <v>47</v>
      </c>
      <c r="K70" s="10">
        <v>47</v>
      </c>
      <c r="L70" s="10">
        <v>59</v>
      </c>
      <c r="M70" s="10">
        <v>118</v>
      </c>
      <c r="N70" s="10">
        <v>147</v>
      </c>
      <c r="O70" s="10">
        <v>177</v>
      </c>
      <c r="P70" s="10">
        <v>206</v>
      </c>
      <c r="Q70" s="10">
        <v>206</v>
      </c>
      <c r="R70" s="10">
        <v>20</v>
      </c>
      <c r="S70" s="10">
        <v>47</v>
      </c>
      <c r="T70" s="1"/>
      <c r="U70" s="1"/>
      <c r="V70" s="1"/>
      <c r="W70" s="1"/>
      <c r="X70" s="1"/>
      <c r="Y70" s="1"/>
      <c r="Z70" s="1"/>
    </row>
    <row r="71" spans="1:26" ht="15.75" customHeight="1">
      <c r="A71" s="67">
        <v>66</v>
      </c>
      <c r="B71" s="10" t="s">
        <v>22</v>
      </c>
      <c r="C71" s="10" t="s">
        <v>145</v>
      </c>
      <c r="D71" s="10" t="s">
        <v>101</v>
      </c>
      <c r="E71" s="11"/>
      <c r="F71" s="10"/>
      <c r="G71" s="10"/>
      <c r="H71" s="12" t="s">
        <v>146</v>
      </c>
      <c r="I71" s="10">
        <v>41</v>
      </c>
      <c r="J71" s="10">
        <v>47</v>
      </c>
      <c r="K71" s="10">
        <v>47</v>
      </c>
      <c r="L71" s="10">
        <v>59</v>
      </c>
      <c r="M71" s="10">
        <v>118</v>
      </c>
      <c r="N71" s="10">
        <v>147</v>
      </c>
      <c r="O71" s="10">
        <v>177</v>
      </c>
      <c r="P71" s="10">
        <v>206</v>
      </c>
      <c r="Q71" s="10">
        <v>206</v>
      </c>
      <c r="R71" s="10">
        <v>20</v>
      </c>
      <c r="S71" s="10">
        <v>47</v>
      </c>
      <c r="T71" s="1"/>
      <c r="U71" s="1"/>
      <c r="V71" s="1"/>
      <c r="W71" s="1"/>
      <c r="X71" s="1"/>
      <c r="Y71" s="1"/>
      <c r="Z71" s="1"/>
    </row>
    <row r="72" spans="1:26" ht="15.75" customHeight="1">
      <c r="A72" s="67">
        <v>67</v>
      </c>
      <c r="B72" s="10" t="s">
        <v>22</v>
      </c>
      <c r="C72" s="10" t="s">
        <v>147</v>
      </c>
      <c r="D72" s="10" t="s">
        <v>101</v>
      </c>
      <c r="E72" s="11"/>
      <c r="F72" s="10"/>
      <c r="G72" s="10"/>
      <c r="H72" s="12" t="s">
        <v>148</v>
      </c>
      <c r="I72" s="10">
        <v>41</v>
      </c>
      <c r="J72" s="10">
        <v>47</v>
      </c>
      <c r="K72" s="10">
        <v>47</v>
      </c>
      <c r="L72" s="10">
        <v>59</v>
      </c>
      <c r="M72" s="10">
        <v>118</v>
      </c>
      <c r="N72" s="10">
        <v>147</v>
      </c>
      <c r="O72" s="10">
        <v>177</v>
      </c>
      <c r="P72" s="10">
        <v>206</v>
      </c>
      <c r="Q72" s="10">
        <v>206</v>
      </c>
      <c r="R72" s="10">
        <v>20</v>
      </c>
      <c r="S72" s="10">
        <v>47</v>
      </c>
      <c r="T72" s="1"/>
      <c r="U72" s="1"/>
      <c r="V72" s="1"/>
      <c r="W72" s="1"/>
      <c r="X72" s="1"/>
      <c r="Y72" s="1"/>
      <c r="Z72" s="1"/>
    </row>
    <row r="73" spans="1:26" ht="15.75" customHeight="1">
      <c r="A73" s="67">
        <v>68</v>
      </c>
      <c r="B73" s="10" t="s">
        <v>22</v>
      </c>
      <c r="C73" s="10" t="s">
        <v>149</v>
      </c>
      <c r="D73" s="10" t="s">
        <v>101</v>
      </c>
      <c r="E73" s="11"/>
      <c r="F73" s="10"/>
      <c r="G73" s="10"/>
      <c r="H73" s="12" t="s">
        <v>150</v>
      </c>
      <c r="I73" s="10">
        <v>41</v>
      </c>
      <c r="J73" s="10">
        <v>47</v>
      </c>
      <c r="K73" s="10">
        <v>47</v>
      </c>
      <c r="L73" s="10">
        <v>59</v>
      </c>
      <c r="M73" s="10">
        <v>118</v>
      </c>
      <c r="N73" s="10">
        <v>147</v>
      </c>
      <c r="O73" s="10">
        <v>177</v>
      </c>
      <c r="P73" s="10">
        <v>206</v>
      </c>
      <c r="Q73" s="10">
        <v>206</v>
      </c>
      <c r="R73" s="10">
        <v>20</v>
      </c>
      <c r="S73" s="10">
        <v>47</v>
      </c>
      <c r="T73" s="1"/>
      <c r="U73" s="1"/>
      <c r="V73" s="1"/>
      <c r="W73" s="1"/>
      <c r="X73" s="1"/>
      <c r="Y73" s="1"/>
      <c r="Z73" s="1"/>
    </row>
    <row r="74" spans="1:26" ht="15.75" customHeight="1">
      <c r="A74" s="67">
        <v>69</v>
      </c>
      <c r="B74" s="10" t="s">
        <v>22</v>
      </c>
      <c r="C74" s="10" t="s">
        <v>151</v>
      </c>
      <c r="D74" s="10" t="s">
        <v>101</v>
      </c>
      <c r="E74" s="11"/>
      <c r="F74" s="10"/>
      <c r="G74" s="10"/>
      <c r="H74" s="12" t="s">
        <v>152</v>
      </c>
      <c r="I74" s="10">
        <v>35</v>
      </c>
      <c r="J74" s="10">
        <v>38</v>
      </c>
      <c r="K74" s="10">
        <v>40</v>
      </c>
      <c r="L74" s="10">
        <v>50</v>
      </c>
      <c r="M74" s="10">
        <v>88</v>
      </c>
      <c r="N74" s="10">
        <v>147</v>
      </c>
      <c r="O74" s="10">
        <v>177</v>
      </c>
      <c r="P74" s="10">
        <v>206</v>
      </c>
      <c r="Q74" s="10">
        <v>206</v>
      </c>
      <c r="R74" s="10">
        <v>20</v>
      </c>
      <c r="S74" s="10">
        <v>47</v>
      </c>
      <c r="T74" s="1"/>
      <c r="U74" s="1"/>
      <c r="V74" s="1"/>
      <c r="W74" s="1"/>
      <c r="X74" s="1"/>
      <c r="Y74" s="1"/>
      <c r="Z74" s="1"/>
    </row>
    <row r="75" spans="1:26" ht="15.75" customHeight="1">
      <c r="A75" s="67">
        <v>70</v>
      </c>
      <c r="B75" s="10" t="s">
        <v>22</v>
      </c>
      <c r="C75" s="10" t="s">
        <v>153</v>
      </c>
      <c r="D75" s="10" t="s">
        <v>101</v>
      </c>
      <c r="E75" s="11"/>
      <c r="F75" s="10"/>
      <c r="G75" s="10"/>
      <c r="H75" s="12" t="s">
        <v>154</v>
      </c>
      <c r="I75" s="10">
        <v>35</v>
      </c>
      <c r="J75" s="10">
        <v>38</v>
      </c>
      <c r="K75" s="10">
        <v>40</v>
      </c>
      <c r="L75" s="10">
        <v>50</v>
      </c>
      <c r="M75" s="10">
        <v>88</v>
      </c>
      <c r="N75" s="10">
        <v>147</v>
      </c>
      <c r="O75" s="10">
        <v>177</v>
      </c>
      <c r="P75" s="10">
        <v>206</v>
      </c>
      <c r="Q75" s="10">
        <v>206</v>
      </c>
      <c r="R75" s="10">
        <v>20</v>
      </c>
      <c r="S75" s="10">
        <v>47</v>
      </c>
      <c r="T75" s="1"/>
      <c r="U75" s="1"/>
      <c r="V75" s="1"/>
      <c r="W75" s="1"/>
      <c r="X75" s="1"/>
      <c r="Y75" s="1"/>
      <c r="Z75" s="1"/>
    </row>
    <row r="76" spans="1:26" ht="15.75" customHeight="1">
      <c r="A76" s="67">
        <v>71</v>
      </c>
      <c r="B76" s="10" t="s">
        <v>22</v>
      </c>
      <c r="C76" s="10" t="s">
        <v>155</v>
      </c>
      <c r="D76" s="10" t="s">
        <v>156</v>
      </c>
      <c r="E76" s="11"/>
      <c r="F76" s="10"/>
      <c r="G76" s="10"/>
      <c r="H76" s="12" t="s">
        <v>157</v>
      </c>
      <c r="I76" s="10">
        <v>35</v>
      </c>
      <c r="J76" s="10">
        <v>38</v>
      </c>
      <c r="K76" s="10">
        <v>40</v>
      </c>
      <c r="L76" s="10">
        <v>50</v>
      </c>
      <c r="M76" s="10">
        <v>88</v>
      </c>
      <c r="N76" s="10">
        <v>147</v>
      </c>
      <c r="O76" s="10">
        <v>177</v>
      </c>
      <c r="P76" s="10">
        <v>206</v>
      </c>
      <c r="Q76" s="10">
        <v>206</v>
      </c>
      <c r="R76" s="10">
        <v>20</v>
      </c>
      <c r="S76" s="10">
        <v>47</v>
      </c>
      <c r="T76" s="1"/>
      <c r="U76" s="1"/>
      <c r="V76" s="1"/>
      <c r="W76" s="1"/>
      <c r="X76" s="1"/>
      <c r="Y76" s="1"/>
      <c r="Z76" s="1"/>
    </row>
    <row r="77" spans="1:26" ht="15.75" customHeight="1">
      <c r="A77" s="67">
        <v>72</v>
      </c>
      <c r="B77" s="10" t="s">
        <v>22</v>
      </c>
      <c r="C77" s="10" t="s">
        <v>158</v>
      </c>
      <c r="D77" s="10" t="s">
        <v>156</v>
      </c>
      <c r="E77" s="11"/>
      <c r="F77" s="10"/>
      <c r="G77" s="10"/>
      <c r="H77" s="12" t="s">
        <v>159</v>
      </c>
      <c r="I77" s="10">
        <v>35</v>
      </c>
      <c r="J77" s="10">
        <v>38</v>
      </c>
      <c r="K77" s="10">
        <v>40</v>
      </c>
      <c r="L77" s="10">
        <v>50</v>
      </c>
      <c r="M77" s="10">
        <v>88</v>
      </c>
      <c r="N77" s="10">
        <v>147</v>
      </c>
      <c r="O77" s="10">
        <v>177</v>
      </c>
      <c r="P77" s="10">
        <v>206</v>
      </c>
      <c r="Q77" s="10">
        <v>206</v>
      </c>
      <c r="R77" s="10">
        <v>20</v>
      </c>
      <c r="S77" s="10">
        <v>47</v>
      </c>
      <c r="T77" s="1"/>
      <c r="U77" s="1"/>
      <c r="V77" s="1"/>
      <c r="W77" s="1"/>
      <c r="X77" s="1"/>
      <c r="Y77" s="1"/>
      <c r="Z77" s="1"/>
    </row>
    <row r="78" spans="1:26" ht="15.75" customHeight="1">
      <c r="A78" s="67">
        <v>73</v>
      </c>
      <c r="B78" s="10" t="s">
        <v>22</v>
      </c>
      <c r="C78" s="10" t="s">
        <v>160</v>
      </c>
      <c r="D78" s="10" t="s">
        <v>156</v>
      </c>
      <c r="E78" s="11"/>
      <c r="F78" s="10"/>
      <c r="G78" s="10"/>
      <c r="H78" s="12" t="s">
        <v>161</v>
      </c>
      <c r="I78" s="10">
        <v>35</v>
      </c>
      <c r="J78" s="10">
        <v>38</v>
      </c>
      <c r="K78" s="10">
        <v>40</v>
      </c>
      <c r="L78" s="10">
        <v>50</v>
      </c>
      <c r="M78" s="10">
        <v>124</v>
      </c>
      <c r="N78" s="10">
        <v>147</v>
      </c>
      <c r="O78" s="10">
        <v>177</v>
      </c>
      <c r="P78" s="10">
        <v>206</v>
      </c>
      <c r="Q78" s="10">
        <v>206</v>
      </c>
      <c r="R78" s="10">
        <v>20</v>
      </c>
      <c r="S78" s="10">
        <v>47</v>
      </c>
      <c r="T78" s="1"/>
      <c r="U78" s="1"/>
      <c r="V78" s="1"/>
      <c r="W78" s="1"/>
      <c r="X78" s="1"/>
      <c r="Y78" s="1"/>
      <c r="Z78" s="1"/>
    </row>
    <row r="79" spans="1:26" ht="15.75" customHeight="1">
      <c r="A79" s="67">
        <v>74</v>
      </c>
      <c r="B79" s="10" t="s">
        <v>22</v>
      </c>
      <c r="C79" s="10" t="s">
        <v>162</v>
      </c>
      <c r="D79" s="10" t="s">
        <v>156</v>
      </c>
      <c r="E79" s="11"/>
      <c r="F79" s="10"/>
      <c r="G79" s="10"/>
      <c r="H79" s="12" t="s">
        <v>163</v>
      </c>
      <c r="I79" s="10">
        <v>35</v>
      </c>
      <c r="J79" s="10">
        <v>38</v>
      </c>
      <c r="K79" s="10">
        <v>40</v>
      </c>
      <c r="L79" s="10">
        <v>50</v>
      </c>
      <c r="M79" s="10">
        <v>88</v>
      </c>
      <c r="N79" s="10">
        <v>147</v>
      </c>
      <c r="O79" s="10">
        <v>177</v>
      </c>
      <c r="P79" s="10">
        <v>206</v>
      </c>
      <c r="Q79" s="10">
        <v>206</v>
      </c>
      <c r="R79" s="10">
        <v>20</v>
      </c>
      <c r="S79" s="10">
        <v>47</v>
      </c>
      <c r="T79" s="1"/>
      <c r="U79" s="1"/>
      <c r="V79" s="1"/>
      <c r="W79" s="1"/>
      <c r="X79" s="1"/>
      <c r="Y79" s="1"/>
      <c r="Z79" s="1"/>
    </row>
    <row r="80" spans="1:26" ht="15.75" customHeight="1">
      <c r="A80" s="67">
        <v>75</v>
      </c>
      <c r="B80" s="10" t="s">
        <v>22</v>
      </c>
      <c r="C80" s="10" t="s">
        <v>164</v>
      </c>
      <c r="D80" s="10" t="s">
        <v>156</v>
      </c>
      <c r="E80" s="11"/>
      <c r="F80" s="10"/>
      <c r="G80" s="10"/>
      <c r="H80" s="12" t="s">
        <v>165</v>
      </c>
      <c r="I80" s="10">
        <v>35</v>
      </c>
      <c r="J80" s="10">
        <v>38</v>
      </c>
      <c r="K80" s="10">
        <v>40</v>
      </c>
      <c r="L80" s="10">
        <v>50</v>
      </c>
      <c r="M80" s="10">
        <v>88</v>
      </c>
      <c r="N80" s="10">
        <v>147</v>
      </c>
      <c r="O80" s="10">
        <v>177</v>
      </c>
      <c r="P80" s="10">
        <v>206</v>
      </c>
      <c r="Q80" s="10">
        <v>206</v>
      </c>
      <c r="R80" s="10">
        <v>20</v>
      </c>
      <c r="S80" s="10">
        <v>47</v>
      </c>
      <c r="T80" s="1"/>
      <c r="U80" s="1"/>
      <c r="V80" s="1"/>
      <c r="W80" s="1"/>
      <c r="X80" s="1"/>
      <c r="Y80" s="1"/>
      <c r="Z80" s="1"/>
    </row>
    <row r="81" spans="1:26" ht="15.75" customHeight="1">
      <c r="A81" s="67">
        <v>76</v>
      </c>
      <c r="B81" s="10" t="s">
        <v>22</v>
      </c>
      <c r="C81" s="10" t="s">
        <v>166</v>
      </c>
      <c r="D81" s="10" t="s">
        <v>101</v>
      </c>
      <c r="E81" s="11"/>
      <c r="F81" s="10"/>
      <c r="G81" s="10"/>
      <c r="H81" s="12" t="s">
        <v>167</v>
      </c>
      <c r="I81" s="10">
        <v>35</v>
      </c>
      <c r="J81" s="10">
        <v>38</v>
      </c>
      <c r="K81" s="10">
        <v>40</v>
      </c>
      <c r="L81" s="10">
        <v>50</v>
      </c>
      <c r="M81" s="10">
        <v>88</v>
      </c>
      <c r="N81" s="10">
        <v>147</v>
      </c>
      <c r="O81" s="10">
        <v>177</v>
      </c>
      <c r="P81" s="10">
        <v>206</v>
      </c>
      <c r="Q81" s="10">
        <v>206</v>
      </c>
      <c r="R81" s="10">
        <v>20</v>
      </c>
      <c r="S81" s="10">
        <v>47</v>
      </c>
      <c r="T81" s="1"/>
      <c r="U81" s="1"/>
      <c r="V81" s="1"/>
      <c r="W81" s="1"/>
      <c r="X81" s="1"/>
      <c r="Y81" s="1"/>
      <c r="Z81" s="1"/>
    </row>
    <row r="82" spans="1:26" ht="15.75" customHeight="1">
      <c r="A82" s="67">
        <v>77</v>
      </c>
      <c r="B82" s="10" t="s">
        <v>22</v>
      </c>
      <c r="C82" s="10" t="s">
        <v>168</v>
      </c>
      <c r="D82" s="10" t="s">
        <v>101</v>
      </c>
      <c r="E82" s="11"/>
      <c r="F82" s="10"/>
      <c r="G82" s="10"/>
      <c r="H82" s="12" t="s">
        <v>169</v>
      </c>
      <c r="I82" s="10">
        <v>35</v>
      </c>
      <c r="J82" s="10">
        <v>38</v>
      </c>
      <c r="K82" s="10">
        <v>40</v>
      </c>
      <c r="L82" s="10">
        <v>50</v>
      </c>
      <c r="M82" s="10">
        <v>88</v>
      </c>
      <c r="N82" s="10">
        <v>147</v>
      </c>
      <c r="O82" s="10">
        <v>177</v>
      </c>
      <c r="P82" s="10">
        <v>206</v>
      </c>
      <c r="Q82" s="10">
        <v>206</v>
      </c>
      <c r="R82" s="10">
        <v>20</v>
      </c>
      <c r="S82" s="10">
        <v>47</v>
      </c>
      <c r="T82" s="1"/>
      <c r="U82" s="1"/>
      <c r="V82" s="1"/>
      <c r="W82" s="1"/>
      <c r="X82" s="1"/>
      <c r="Y82" s="1"/>
      <c r="Z82" s="1"/>
    </row>
    <row r="83" spans="1:26" ht="15.75" customHeight="1">
      <c r="A83" s="67">
        <v>78</v>
      </c>
      <c r="B83" s="10" t="s">
        <v>22</v>
      </c>
      <c r="C83" s="10" t="s">
        <v>170</v>
      </c>
      <c r="D83" s="10" t="s">
        <v>156</v>
      </c>
      <c r="E83" s="11"/>
      <c r="F83" s="10"/>
      <c r="G83" s="10"/>
      <c r="H83" s="12" t="s">
        <v>171</v>
      </c>
      <c r="I83" s="10">
        <v>35</v>
      </c>
      <c r="J83" s="10">
        <v>38</v>
      </c>
      <c r="K83" s="10">
        <v>40</v>
      </c>
      <c r="L83" s="10">
        <v>50</v>
      </c>
      <c r="M83" s="10">
        <v>88</v>
      </c>
      <c r="N83" s="10">
        <v>147</v>
      </c>
      <c r="O83" s="10">
        <v>177</v>
      </c>
      <c r="P83" s="10">
        <v>206</v>
      </c>
      <c r="Q83" s="10">
        <v>206</v>
      </c>
      <c r="R83" s="10">
        <v>20</v>
      </c>
      <c r="S83" s="10">
        <v>47</v>
      </c>
      <c r="T83" s="1"/>
      <c r="U83" s="1"/>
      <c r="V83" s="1"/>
      <c r="W83" s="1"/>
      <c r="X83" s="1"/>
      <c r="Y83" s="1"/>
      <c r="Z83" s="1"/>
    </row>
    <row r="84" spans="1:26" ht="15.75" customHeight="1">
      <c r="A84" s="67">
        <v>79</v>
      </c>
      <c r="B84" s="10" t="s">
        <v>22</v>
      </c>
      <c r="C84" s="10" t="s">
        <v>172</v>
      </c>
      <c r="D84" s="10" t="s">
        <v>156</v>
      </c>
      <c r="E84" s="11"/>
      <c r="F84" s="10"/>
      <c r="G84" s="10"/>
      <c r="H84" s="12" t="s">
        <v>173</v>
      </c>
      <c r="I84" s="10">
        <v>35</v>
      </c>
      <c r="J84" s="10">
        <v>38</v>
      </c>
      <c r="K84" s="10">
        <v>40</v>
      </c>
      <c r="L84" s="10">
        <v>50</v>
      </c>
      <c r="M84" s="10">
        <v>88</v>
      </c>
      <c r="N84" s="10">
        <v>147</v>
      </c>
      <c r="O84" s="10">
        <v>177</v>
      </c>
      <c r="P84" s="10">
        <v>206</v>
      </c>
      <c r="Q84" s="10">
        <v>206</v>
      </c>
      <c r="R84" s="10">
        <v>20</v>
      </c>
      <c r="S84" s="10">
        <v>47</v>
      </c>
      <c r="T84" s="1"/>
      <c r="U84" s="1"/>
      <c r="V84" s="1"/>
      <c r="W84" s="1"/>
      <c r="X84" s="1"/>
      <c r="Y84" s="1"/>
      <c r="Z84" s="1"/>
    </row>
    <row r="85" spans="1:26" ht="15.75" customHeight="1">
      <c r="A85" s="67">
        <v>80</v>
      </c>
      <c r="B85" s="10" t="s">
        <v>22</v>
      </c>
      <c r="C85" s="10" t="s">
        <v>174</v>
      </c>
      <c r="D85" s="10" t="s">
        <v>156</v>
      </c>
      <c r="E85" s="11"/>
      <c r="F85" s="10"/>
      <c r="G85" s="10"/>
      <c r="H85" s="12" t="s">
        <v>175</v>
      </c>
      <c r="I85" s="10">
        <v>35</v>
      </c>
      <c r="J85" s="10">
        <v>38</v>
      </c>
      <c r="K85" s="10">
        <v>40</v>
      </c>
      <c r="L85" s="10">
        <v>50</v>
      </c>
      <c r="M85" s="10">
        <v>88</v>
      </c>
      <c r="N85" s="10">
        <v>147</v>
      </c>
      <c r="O85" s="10">
        <v>177</v>
      </c>
      <c r="P85" s="10">
        <v>206</v>
      </c>
      <c r="Q85" s="10">
        <v>206</v>
      </c>
      <c r="R85" s="10">
        <v>20</v>
      </c>
      <c r="S85" s="10">
        <v>47</v>
      </c>
      <c r="T85" s="1"/>
      <c r="U85" s="1"/>
      <c r="V85" s="1"/>
      <c r="W85" s="1"/>
      <c r="X85" s="1"/>
      <c r="Y85" s="1"/>
      <c r="Z85" s="1"/>
    </row>
    <row r="86" spans="1:26" ht="15.75" customHeight="1">
      <c r="A86" s="67">
        <v>81</v>
      </c>
      <c r="B86" s="10" t="s">
        <v>22</v>
      </c>
      <c r="C86" s="10" t="s">
        <v>176</v>
      </c>
      <c r="D86" s="10" t="s">
        <v>156</v>
      </c>
      <c r="E86" s="11"/>
      <c r="F86" s="10"/>
      <c r="G86" s="10"/>
      <c r="H86" s="12" t="s">
        <v>177</v>
      </c>
      <c r="I86" s="10">
        <v>35</v>
      </c>
      <c r="J86" s="10">
        <v>38</v>
      </c>
      <c r="K86" s="10">
        <v>40</v>
      </c>
      <c r="L86" s="10">
        <v>50</v>
      </c>
      <c r="M86" s="10">
        <v>88</v>
      </c>
      <c r="N86" s="10">
        <v>147</v>
      </c>
      <c r="O86" s="10">
        <v>177</v>
      </c>
      <c r="P86" s="10">
        <v>206</v>
      </c>
      <c r="Q86" s="10">
        <v>206</v>
      </c>
      <c r="R86" s="10">
        <v>20</v>
      </c>
      <c r="S86" s="10">
        <v>47</v>
      </c>
      <c r="T86" s="1"/>
      <c r="U86" s="1"/>
      <c r="V86" s="1"/>
      <c r="W86" s="1"/>
      <c r="X86" s="1"/>
      <c r="Y86" s="1"/>
      <c r="Z86" s="1"/>
    </row>
    <row r="87" spans="1:26" ht="15.75" customHeight="1">
      <c r="A87" s="67">
        <v>82</v>
      </c>
      <c r="B87" s="10" t="s">
        <v>22</v>
      </c>
      <c r="C87" s="10" t="s">
        <v>178</v>
      </c>
      <c r="D87" s="10" t="s">
        <v>156</v>
      </c>
      <c r="E87" s="11"/>
      <c r="F87" s="10"/>
      <c r="G87" s="10"/>
      <c r="H87" s="12" t="s">
        <v>179</v>
      </c>
      <c r="I87" s="10">
        <v>35</v>
      </c>
      <c r="J87" s="10">
        <v>38</v>
      </c>
      <c r="K87" s="10">
        <v>40</v>
      </c>
      <c r="L87" s="10">
        <v>50</v>
      </c>
      <c r="M87" s="10">
        <v>88</v>
      </c>
      <c r="N87" s="10">
        <v>147</v>
      </c>
      <c r="O87" s="10">
        <v>177</v>
      </c>
      <c r="P87" s="10">
        <v>206</v>
      </c>
      <c r="Q87" s="10">
        <v>206</v>
      </c>
      <c r="R87" s="10">
        <v>20</v>
      </c>
      <c r="S87" s="10">
        <v>47</v>
      </c>
      <c r="T87" s="1"/>
      <c r="U87" s="1"/>
      <c r="V87" s="1"/>
      <c r="W87" s="1"/>
      <c r="X87" s="1"/>
      <c r="Y87" s="1"/>
      <c r="Z87" s="1"/>
    </row>
    <row r="88" spans="1:26" ht="15.75" customHeight="1">
      <c r="A88" s="67">
        <v>83</v>
      </c>
      <c r="B88" s="10" t="s">
        <v>22</v>
      </c>
      <c r="C88" s="10" t="s">
        <v>180</v>
      </c>
      <c r="D88" s="10" t="s">
        <v>156</v>
      </c>
      <c r="E88" s="11"/>
      <c r="F88" s="10"/>
      <c r="G88" s="10"/>
      <c r="H88" s="12" t="s">
        <v>181</v>
      </c>
      <c r="I88" s="10">
        <v>41</v>
      </c>
      <c r="J88" s="10">
        <v>47</v>
      </c>
      <c r="K88" s="10">
        <v>47</v>
      </c>
      <c r="L88" s="10">
        <v>59</v>
      </c>
      <c r="M88" s="10">
        <v>124</v>
      </c>
      <c r="N88" s="10">
        <v>147</v>
      </c>
      <c r="O88" s="10">
        <v>177</v>
      </c>
      <c r="P88" s="10">
        <v>206</v>
      </c>
      <c r="Q88" s="10">
        <v>206</v>
      </c>
      <c r="R88" s="10">
        <v>20</v>
      </c>
      <c r="S88" s="10">
        <v>47</v>
      </c>
      <c r="T88" s="1"/>
      <c r="U88" s="1"/>
      <c r="V88" s="1"/>
      <c r="W88" s="1"/>
      <c r="X88" s="1"/>
      <c r="Y88" s="1"/>
      <c r="Z88" s="1"/>
    </row>
    <row r="89" spans="1:26" ht="15.75" customHeight="1">
      <c r="A89" s="67">
        <v>84</v>
      </c>
      <c r="B89" s="10" t="s">
        <v>22</v>
      </c>
      <c r="C89" s="10" t="s">
        <v>182</v>
      </c>
      <c r="D89" s="10" t="s">
        <v>156</v>
      </c>
      <c r="E89" s="11"/>
      <c r="F89" s="10"/>
      <c r="G89" s="10"/>
      <c r="H89" s="12" t="s">
        <v>183</v>
      </c>
      <c r="I89" s="10">
        <v>35</v>
      </c>
      <c r="J89" s="10">
        <v>38</v>
      </c>
      <c r="K89" s="10">
        <v>40</v>
      </c>
      <c r="L89" s="10">
        <v>50</v>
      </c>
      <c r="M89" s="10">
        <v>88</v>
      </c>
      <c r="N89" s="10">
        <v>147</v>
      </c>
      <c r="O89" s="10">
        <v>177</v>
      </c>
      <c r="P89" s="10">
        <v>206</v>
      </c>
      <c r="Q89" s="10">
        <v>206</v>
      </c>
      <c r="R89" s="10">
        <v>20</v>
      </c>
      <c r="S89" s="10">
        <v>47</v>
      </c>
      <c r="T89" s="1"/>
      <c r="U89" s="1"/>
      <c r="V89" s="1"/>
      <c r="W89" s="1"/>
      <c r="X89" s="1"/>
      <c r="Y89" s="1"/>
      <c r="Z89" s="1"/>
    </row>
    <row r="90" spans="1:26" ht="15.75" customHeight="1">
      <c r="A90" s="67">
        <v>85</v>
      </c>
      <c r="B90" s="10" t="s">
        <v>22</v>
      </c>
      <c r="C90" s="10" t="s">
        <v>184</v>
      </c>
      <c r="D90" s="10" t="s">
        <v>156</v>
      </c>
      <c r="E90" s="11"/>
      <c r="F90" s="10"/>
      <c r="G90" s="10"/>
      <c r="H90" s="12" t="s">
        <v>185</v>
      </c>
      <c r="I90" s="10">
        <v>35</v>
      </c>
      <c r="J90" s="10">
        <v>38</v>
      </c>
      <c r="K90" s="10">
        <v>40</v>
      </c>
      <c r="L90" s="10">
        <v>50</v>
      </c>
      <c r="M90" s="10">
        <v>88</v>
      </c>
      <c r="N90" s="10">
        <v>147</v>
      </c>
      <c r="O90" s="10">
        <v>177</v>
      </c>
      <c r="P90" s="10">
        <v>206</v>
      </c>
      <c r="Q90" s="10">
        <v>206</v>
      </c>
      <c r="R90" s="10">
        <v>20</v>
      </c>
      <c r="S90" s="10">
        <v>47</v>
      </c>
      <c r="T90" s="1"/>
      <c r="U90" s="1"/>
      <c r="V90" s="1"/>
      <c r="W90" s="1"/>
      <c r="X90" s="1"/>
      <c r="Y90" s="1"/>
      <c r="Z90" s="1"/>
    </row>
    <row r="91" spans="1:26" ht="15.75" customHeight="1">
      <c r="A91" s="67">
        <v>86</v>
      </c>
      <c r="B91" s="10" t="s">
        <v>22</v>
      </c>
      <c r="C91" s="10" t="s">
        <v>186</v>
      </c>
      <c r="D91" s="10" t="s">
        <v>156</v>
      </c>
      <c r="E91" s="11"/>
      <c r="F91" s="10"/>
      <c r="G91" s="10"/>
      <c r="H91" s="12" t="s">
        <v>187</v>
      </c>
      <c r="I91" s="10">
        <v>35</v>
      </c>
      <c r="J91" s="10">
        <v>38</v>
      </c>
      <c r="K91" s="10">
        <v>40</v>
      </c>
      <c r="L91" s="10">
        <v>50</v>
      </c>
      <c r="M91" s="10">
        <v>88</v>
      </c>
      <c r="N91" s="10">
        <v>147</v>
      </c>
      <c r="O91" s="10">
        <v>177</v>
      </c>
      <c r="P91" s="10">
        <v>206</v>
      </c>
      <c r="Q91" s="10">
        <v>206</v>
      </c>
      <c r="R91" s="10">
        <v>20</v>
      </c>
      <c r="S91" s="10">
        <v>47</v>
      </c>
      <c r="T91" s="1"/>
      <c r="U91" s="1"/>
      <c r="V91" s="1"/>
      <c r="W91" s="1"/>
      <c r="X91" s="1"/>
      <c r="Y91" s="1"/>
      <c r="Z91" s="1"/>
    </row>
    <row r="92" spans="1:26" ht="15.75" customHeight="1">
      <c r="A92" s="67">
        <v>87</v>
      </c>
      <c r="B92" s="10" t="s">
        <v>22</v>
      </c>
      <c r="C92" s="10" t="s">
        <v>188</v>
      </c>
      <c r="D92" s="10" t="s">
        <v>156</v>
      </c>
      <c r="E92" s="11"/>
      <c r="F92" s="10"/>
      <c r="G92" s="10"/>
      <c r="H92" s="12" t="s">
        <v>189</v>
      </c>
      <c r="I92" s="10">
        <v>35</v>
      </c>
      <c r="J92" s="10">
        <v>38</v>
      </c>
      <c r="K92" s="10">
        <v>40</v>
      </c>
      <c r="L92" s="10">
        <v>50</v>
      </c>
      <c r="M92" s="10">
        <v>88</v>
      </c>
      <c r="N92" s="10">
        <v>147</v>
      </c>
      <c r="O92" s="10">
        <v>177</v>
      </c>
      <c r="P92" s="10">
        <v>206</v>
      </c>
      <c r="Q92" s="10">
        <v>206</v>
      </c>
      <c r="R92" s="10">
        <v>20</v>
      </c>
      <c r="S92" s="10">
        <v>47</v>
      </c>
      <c r="T92" s="1"/>
      <c r="U92" s="1"/>
      <c r="V92" s="1"/>
      <c r="W92" s="1"/>
      <c r="X92" s="1"/>
      <c r="Y92" s="1"/>
      <c r="Z92" s="1"/>
    </row>
    <row r="93" spans="1:26" ht="15.75" customHeight="1">
      <c r="A93" s="67">
        <v>88</v>
      </c>
      <c r="B93" s="10" t="s">
        <v>22</v>
      </c>
      <c r="C93" s="10" t="s">
        <v>190</v>
      </c>
      <c r="D93" s="10" t="s">
        <v>156</v>
      </c>
      <c r="E93" s="11"/>
      <c r="F93" s="10"/>
      <c r="G93" s="10"/>
      <c r="H93" s="12" t="s">
        <v>191</v>
      </c>
      <c r="I93" s="10">
        <v>35</v>
      </c>
      <c r="J93" s="10">
        <v>38</v>
      </c>
      <c r="K93" s="10">
        <v>40</v>
      </c>
      <c r="L93" s="10">
        <v>50</v>
      </c>
      <c r="M93" s="10">
        <v>88</v>
      </c>
      <c r="N93" s="10">
        <v>147</v>
      </c>
      <c r="O93" s="10">
        <v>177</v>
      </c>
      <c r="P93" s="10">
        <v>206</v>
      </c>
      <c r="Q93" s="10">
        <v>206</v>
      </c>
      <c r="R93" s="10">
        <v>20</v>
      </c>
      <c r="S93" s="10">
        <v>47</v>
      </c>
      <c r="T93" s="1"/>
      <c r="U93" s="1"/>
      <c r="V93" s="1"/>
      <c r="W93" s="1"/>
      <c r="X93" s="1"/>
      <c r="Y93" s="1"/>
      <c r="Z93" s="1"/>
    </row>
    <row r="94" spans="1:26" ht="15.75" customHeight="1">
      <c r="A94" s="67">
        <v>89</v>
      </c>
      <c r="B94" s="10" t="s">
        <v>22</v>
      </c>
      <c r="C94" s="10" t="s">
        <v>192</v>
      </c>
      <c r="D94" s="10" t="s">
        <v>156</v>
      </c>
      <c r="E94" s="11"/>
      <c r="F94" s="10"/>
      <c r="G94" s="10"/>
      <c r="H94" s="12" t="s">
        <v>193</v>
      </c>
      <c r="I94" s="10">
        <v>35</v>
      </c>
      <c r="J94" s="10">
        <v>38</v>
      </c>
      <c r="K94" s="10">
        <v>40</v>
      </c>
      <c r="L94" s="10">
        <v>50</v>
      </c>
      <c r="M94" s="10">
        <v>88</v>
      </c>
      <c r="N94" s="10">
        <v>147</v>
      </c>
      <c r="O94" s="10">
        <v>177</v>
      </c>
      <c r="P94" s="10">
        <v>206</v>
      </c>
      <c r="Q94" s="10">
        <v>206</v>
      </c>
      <c r="R94" s="10">
        <v>20</v>
      </c>
      <c r="S94" s="10">
        <v>47</v>
      </c>
      <c r="T94" s="1"/>
      <c r="U94" s="1"/>
      <c r="V94" s="1"/>
      <c r="W94" s="1"/>
      <c r="X94" s="1"/>
      <c r="Y94" s="1"/>
      <c r="Z94" s="1"/>
    </row>
    <row r="95" spans="1:26" ht="15.75" customHeight="1">
      <c r="A95" s="67">
        <v>90</v>
      </c>
      <c r="B95" s="10" t="s">
        <v>22</v>
      </c>
      <c r="C95" s="10" t="s">
        <v>194</v>
      </c>
      <c r="D95" s="10" t="s">
        <v>156</v>
      </c>
      <c r="E95" s="11"/>
      <c r="F95" s="10"/>
      <c r="G95" s="10"/>
      <c r="H95" s="12" t="s">
        <v>195</v>
      </c>
      <c r="I95" s="10">
        <v>35</v>
      </c>
      <c r="J95" s="10">
        <v>38</v>
      </c>
      <c r="K95" s="10">
        <v>40</v>
      </c>
      <c r="L95" s="10">
        <v>50</v>
      </c>
      <c r="M95" s="10">
        <v>88</v>
      </c>
      <c r="N95" s="10">
        <v>147</v>
      </c>
      <c r="O95" s="10">
        <v>177</v>
      </c>
      <c r="P95" s="10">
        <v>206</v>
      </c>
      <c r="Q95" s="10">
        <v>206</v>
      </c>
      <c r="R95" s="10">
        <v>20</v>
      </c>
      <c r="S95" s="10">
        <v>47</v>
      </c>
      <c r="T95" s="1"/>
      <c r="U95" s="1"/>
      <c r="V95" s="1"/>
      <c r="W95" s="1"/>
      <c r="X95" s="1"/>
      <c r="Y95" s="1"/>
      <c r="Z95" s="1"/>
    </row>
    <row r="96" spans="1:26" ht="15.75" customHeight="1">
      <c r="A96" s="67">
        <v>91</v>
      </c>
      <c r="B96" s="10" t="s">
        <v>22</v>
      </c>
      <c r="C96" s="10" t="s">
        <v>196</v>
      </c>
      <c r="D96" s="10" t="s">
        <v>156</v>
      </c>
      <c r="E96" s="11"/>
      <c r="F96" s="10"/>
      <c r="G96" s="10"/>
      <c r="H96" s="12" t="s">
        <v>197</v>
      </c>
      <c r="I96" s="10">
        <v>41</v>
      </c>
      <c r="J96" s="10">
        <v>47</v>
      </c>
      <c r="K96" s="10">
        <v>47</v>
      </c>
      <c r="L96" s="10">
        <v>59</v>
      </c>
      <c r="M96" s="10">
        <v>124</v>
      </c>
      <c r="N96" s="10">
        <v>147</v>
      </c>
      <c r="O96" s="10">
        <v>177</v>
      </c>
      <c r="P96" s="10">
        <v>206</v>
      </c>
      <c r="Q96" s="10">
        <v>206</v>
      </c>
      <c r="R96" s="10">
        <v>20</v>
      </c>
      <c r="S96" s="10">
        <v>47</v>
      </c>
      <c r="T96" s="1"/>
      <c r="U96" s="1"/>
      <c r="V96" s="1"/>
      <c r="W96" s="1"/>
      <c r="X96" s="1"/>
      <c r="Y96" s="1"/>
      <c r="Z96" s="1"/>
    </row>
    <row r="97" spans="1:26" ht="15.75" customHeight="1">
      <c r="A97" s="67">
        <v>92</v>
      </c>
      <c r="B97" s="10" t="s">
        <v>22</v>
      </c>
      <c r="C97" s="10" t="s">
        <v>198</v>
      </c>
      <c r="D97" s="10" t="s">
        <v>156</v>
      </c>
      <c r="E97" s="11"/>
      <c r="F97" s="10"/>
      <c r="G97" s="10"/>
      <c r="H97" s="12" t="s">
        <v>199</v>
      </c>
      <c r="I97" s="10">
        <v>35</v>
      </c>
      <c r="J97" s="10">
        <v>38</v>
      </c>
      <c r="K97" s="10">
        <v>40</v>
      </c>
      <c r="L97" s="10">
        <v>50</v>
      </c>
      <c r="M97" s="10">
        <v>88</v>
      </c>
      <c r="N97" s="10">
        <v>147</v>
      </c>
      <c r="O97" s="10">
        <v>177</v>
      </c>
      <c r="P97" s="10">
        <v>206</v>
      </c>
      <c r="Q97" s="10">
        <v>206</v>
      </c>
      <c r="R97" s="10">
        <v>20</v>
      </c>
      <c r="S97" s="10">
        <v>47</v>
      </c>
      <c r="T97" s="1"/>
      <c r="U97" s="1"/>
      <c r="V97" s="1"/>
      <c r="W97" s="1"/>
      <c r="X97" s="1"/>
      <c r="Y97" s="1"/>
      <c r="Z97" s="1"/>
    </row>
    <row r="98" spans="1:26" ht="15.75" customHeight="1">
      <c r="A98" s="67">
        <v>93</v>
      </c>
      <c r="B98" s="10" t="s">
        <v>22</v>
      </c>
      <c r="C98" s="10" t="s">
        <v>200</v>
      </c>
      <c r="D98" s="10" t="s">
        <v>156</v>
      </c>
      <c r="E98" s="11"/>
      <c r="F98" s="10"/>
      <c r="G98" s="10"/>
      <c r="H98" s="12" t="s">
        <v>201</v>
      </c>
      <c r="I98" s="10">
        <v>35</v>
      </c>
      <c r="J98" s="10">
        <v>38</v>
      </c>
      <c r="K98" s="10">
        <v>40</v>
      </c>
      <c r="L98" s="10">
        <v>50</v>
      </c>
      <c r="M98" s="10">
        <v>88</v>
      </c>
      <c r="N98" s="10">
        <v>147</v>
      </c>
      <c r="O98" s="10">
        <v>177</v>
      </c>
      <c r="P98" s="10">
        <v>206</v>
      </c>
      <c r="Q98" s="10">
        <v>206</v>
      </c>
      <c r="R98" s="10">
        <v>20</v>
      </c>
      <c r="S98" s="10">
        <v>47</v>
      </c>
      <c r="T98" s="1"/>
      <c r="U98" s="1"/>
      <c r="V98" s="1"/>
      <c r="W98" s="1"/>
      <c r="X98" s="1"/>
      <c r="Y98" s="1"/>
      <c r="Z98" s="1"/>
    </row>
    <row r="99" spans="1:26" ht="15.75" customHeight="1">
      <c r="A99" s="67">
        <v>94</v>
      </c>
      <c r="B99" s="10" t="s">
        <v>22</v>
      </c>
      <c r="C99" s="10" t="s">
        <v>202</v>
      </c>
      <c r="D99" s="10" t="s">
        <v>156</v>
      </c>
      <c r="E99" s="11"/>
      <c r="F99" s="10"/>
      <c r="G99" s="10"/>
      <c r="H99" s="12" t="s">
        <v>203</v>
      </c>
      <c r="I99" s="10">
        <v>35</v>
      </c>
      <c r="J99" s="10">
        <v>38</v>
      </c>
      <c r="K99" s="10">
        <v>40</v>
      </c>
      <c r="L99" s="10">
        <v>50</v>
      </c>
      <c r="M99" s="10">
        <v>88</v>
      </c>
      <c r="N99" s="10">
        <v>147</v>
      </c>
      <c r="O99" s="10">
        <v>177</v>
      </c>
      <c r="P99" s="10">
        <v>206</v>
      </c>
      <c r="Q99" s="10">
        <v>206</v>
      </c>
      <c r="R99" s="10">
        <v>20</v>
      </c>
      <c r="S99" s="10">
        <v>47</v>
      </c>
      <c r="T99" s="1"/>
      <c r="U99" s="1"/>
      <c r="V99" s="1"/>
      <c r="W99" s="1"/>
      <c r="X99" s="1"/>
      <c r="Y99" s="1"/>
      <c r="Z99" s="1"/>
    </row>
    <row r="100" spans="1:26" ht="15.75" customHeight="1">
      <c r="A100" s="67">
        <v>95</v>
      </c>
      <c r="B100" s="10" t="s">
        <v>22</v>
      </c>
      <c r="C100" s="10" t="s">
        <v>204</v>
      </c>
      <c r="D100" s="10" t="s">
        <v>156</v>
      </c>
      <c r="E100" s="11"/>
      <c r="F100" s="10"/>
      <c r="G100" s="10"/>
      <c r="H100" s="12" t="s">
        <v>205</v>
      </c>
      <c r="I100" s="10">
        <v>35</v>
      </c>
      <c r="J100" s="10">
        <v>38</v>
      </c>
      <c r="K100" s="10">
        <v>40</v>
      </c>
      <c r="L100" s="10">
        <v>50</v>
      </c>
      <c r="M100" s="10">
        <v>88</v>
      </c>
      <c r="N100" s="10">
        <v>147</v>
      </c>
      <c r="O100" s="10">
        <v>177</v>
      </c>
      <c r="P100" s="10">
        <v>206</v>
      </c>
      <c r="Q100" s="10">
        <v>206</v>
      </c>
      <c r="R100" s="10">
        <v>20</v>
      </c>
      <c r="S100" s="10">
        <v>47</v>
      </c>
      <c r="T100" s="1"/>
      <c r="U100" s="1"/>
      <c r="V100" s="1"/>
      <c r="W100" s="1"/>
      <c r="X100" s="1"/>
      <c r="Y100" s="1"/>
      <c r="Z100" s="1"/>
    </row>
    <row r="101" spans="1:26" ht="15.75" customHeight="1">
      <c r="A101" s="67">
        <v>96</v>
      </c>
      <c r="B101" s="10" t="s">
        <v>22</v>
      </c>
      <c r="C101" s="10" t="s">
        <v>206</v>
      </c>
      <c r="D101" s="10" t="s">
        <v>156</v>
      </c>
      <c r="E101" s="11"/>
      <c r="F101" s="10"/>
      <c r="G101" s="10"/>
      <c r="H101" s="12" t="s">
        <v>207</v>
      </c>
      <c r="I101" s="10">
        <v>35</v>
      </c>
      <c r="J101" s="10">
        <v>38</v>
      </c>
      <c r="K101" s="10">
        <v>40</v>
      </c>
      <c r="L101" s="10">
        <v>50</v>
      </c>
      <c r="M101" s="10">
        <v>88</v>
      </c>
      <c r="N101" s="10">
        <v>147</v>
      </c>
      <c r="O101" s="10">
        <v>177</v>
      </c>
      <c r="P101" s="10">
        <v>206</v>
      </c>
      <c r="Q101" s="10">
        <v>206</v>
      </c>
      <c r="R101" s="10">
        <v>20</v>
      </c>
      <c r="S101" s="10">
        <v>47</v>
      </c>
      <c r="T101" s="1"/>
      <c r="U101" s="1"/>
      <c r="V101" s="1"/>
      <c r="W101" s="1"/>
      <c r="X101" s="1"/>
      <c r="Y101" s="1"/>
      <c r="Z101" s="1"/>
    </row>
    <row r="102" spans="1:26" ht="15.75" customHeight="1">
      <c r="A102" s="67">
        <v>97</v>
      </c>
      <c r="B102" s="10" t="s">
        <v>22</v>
      </c>
      <c r="C102" s="10" t="s">
        <v>208</v>
      </c>
      <c r="D102" s="10" t="s">
        <v>156</v>
      </c>
      <c r="E102" s="11"/>
      <c r="F102" s="10"/>
      <c r="G102" s="10"/>
      <c r="H102" s="12" t="s">
        <v>209</v>
      </c>
      <c r="I102" s="10">
        <v>35</v>
      </c>
      <c r="J102" s="10">
        <v>38</v>
      </c>
      <c r="K102" s="10">
        <v>40</v>
      </c>
      <c r="L102" s="10">
        <v>50</v>
      </c>
      <c r="M102" s="10">
        <v>88</v>
      </c>
      <c r="N102" s="10">
        <v>147</v>
      </c>
      <c r="O102" s="10">
        <v>177</v>
      </c>
      <c r="P102" s="10">
        <v>206</v>
      </c>
      <c r="Q102" s="10">
        <v>206</v>
      </c>
      <c r="R102" s="10">
        <v>20</v>
      </c>
      <c r="S102" s="10">
        <v>47</v>
      </c>
      <c r="T102" s="1"/>
      <c r="U102" s="1"/>
      <c r="V102" s="1"/>
      <c r="W102" s="1"/>
      <c r="X102" s="1"/>
      <c r="Y102" s="1"/>
      <c r="Z102" s="1"/>
    </row>
    <row r="103" spans="1:26" ht="15.75" customHeight="1">
      <c r="A103" s="67">
        <v>98</v>
      </c>
      <c r="B103" s="10" t="s">
        <v>22</v>
      </c>
      <c r="C103" s="10" t="s">
        <v>210</v>
      </c>
      <c r="D103" s="10" t="s">
        <v>156</v>
      </c>
      <c r="E103" s="11"/>
      <c r="F103" s="10"/>
      <c r="G103" s="10"/>
      <c r="H103" s="12" t="s">
        <v>211</v>
      </c>
      <c r="I103" s="10">
        <v>41</v>
      </c>
      <c r="J103" s="10">
        <v>47</v>
      </c>
      <c r="K103" s="10">
        <v>47</v>
      </c>
      <c r="L103" s="10">
        <v>59</v>
      </c>
      <c r="M103" s="10">
        <v>124</v>
      </c>
      <c r="N103" s="10">
        <v>147</v>
      </c>
      <c r="O103" s="10">
        <v>177</v>
      </c>
      <c r="P103" s="10">
        <v>206</v>
      </c>
      <c r="Q103" s="10">
        <v>206</v>
      </c>
      <c r="R103" s="10">
        <v>20</v>
      </c>
      <c r="S103" s="10">
        <v>47</v>
      </c>
      <c r="T103" s="1"/>
      <c r="U103" s="1"/>
      <c r="V103" s="1"/>
      <c r="W103" s="1"/>
      <c r="X103" s="1"/>
      <c r="Y103" s="1"/>
      <c r="Z103" s="1"/>
    </row>
    <row r="104" spans="1:26" ht="15.75" customHeight="1">
      <c r="A104" s="67">
        <v>99</v>
      </c>
      <c r="B104" s="10" t="s">
        <v>22</v>
      </c>
      <c r="C104" s="10" t="s">
        <v>212</v>
      </c>
      <c r="D104" s="10" t="s">
        <v>156</v>
      </c>
      <c r="E104" s="11"/>
      <c r="F104" s="10"/>
      <c r="G104" s="10"/>
      <c r="H104" s="12" t="s">
        <v>213</v>
      </c>
      <c r="I104" s="10">
        <v>35</v>
      </c>
      <c r="J104" s="10">
        <v>38</v>
      </c>
      <c r="K104" s="10">
        <v>40</v>
      </c>
      <c r="L104" s="10">
        <v>50</v>
      </c>
      <c r="M104" s="10">
        <v>88</v>
      </c>
      <c r="N104" s="10">
        <v>147</v>
      </c>
      <c r="O104" s="10">
        <v>177</v>
      </c>
      <c r="P104" s="10">
        <v>206</v>
      </c>
      <c r="Q104" s="10">
        <v>206</v>
      </c>
      <c r="R104" s="10">
        <v>20</v>
      </c>
      <c r="S104" s="10">
        <v>47</v>
      </c>
      <c r="T104" s="1"/>
      <c r="U104" s="1"/>
      <c r="V104" s="1"/>
      <c r="W104" s="1"/>
      <c r="X104" s="1"/>
      <c r="Y104" s="1"/>
      <c r="Z104" s="1"/>
    </row>
    <row r="105" spans="1:26" ht="15.75" customHeight="1">
      <c r="A105" s="67">
        <v>100</v>
      </c>
      <c r="B105" s="10" t="s">
        <v>22</v>
      </c>
      <c r="C105" s="10" t="s">
        <v>214</v>
      </c>
      <c r="D105" s="10" t="s">
        <v>156</v>
      </c>
      <c r="E105" s="11"/>
      <c r="F105" s="10"/>
      <c r="G105" s="10"/>
      <c r="H105" s="12" t="s">
        <v>215</v>
      </c>
      <c r="I105" s="10">
        <v>35</v>
      </c>
      <c r="J105" s="10">
        <v>38</v>
      </c>
      <c r="K105" s="10">
        <v>40</v>
      </c>
      <c r="L105" s="10">
        <v>50</v>
      </c>
      <c r="M105" s="10">
        <v>88</v>
      </c>
      <c r="N105" s="10">
        <v>147</v>
      </c>
      <c r="O105" s="10">
        <v>177</v>
      </c>
      <c r="P105" s="10">
        <v>206</v>
      </c>
      <c r="Q105" s="10">
        <v>206</v>
      </c>
      <c r="R105" s="10">
        <v>20</v>
      </c>
      <c r="S105" s="10">
        <v>47</v>
      </c>
      <c r="T105" s="1"/>
      <c r="U105" s="1"/>
      <c r="V105" s="1"/>
      <c r="W105" s="1"/>
      <c r="X105" s="1"/>
      <c r="Y105" s="1"/>
      <c r="Z105" s="1"/>
    </row>
    <row r="106" spans="1:26" ht="15.75" customHeight="1">
      <c r="A106" s="67">
        <v>101</v>
      </c>
      <c r="B106" s="10" t="s">
        <v>22</v>
      </c>
      <c r="C106" s="10" t="s">
        <v>216</v>
      </c>
      <c r="D106" s="10" t="s">
        <v>156</v>
      </c>
      <c r="E106" s="11"/>
      <c r="F106" s="10"/>
      <c r="G106" s="10"/>
      <c r="H106" s="12" t="s">
        <v>217</v>
      </c>
      <c r="I106" s="10">
        <v>35</v>
      </c>
      <c r="J106" s="10">
        <v>38</v>
      </c>
      <c r="K106" s="10">
        <v>40</v>
      </c>
      <c r="L106" s="10">
        <v>50</v>
      </c>
      <c r="M106" s="10">
        <v>88</v>
      </c>
      <c r="N106" s="10">
        <v>147</v>
      </c>
      <c r="O106" s="10">
        <v>177</v>
      </c>
      <c r="P106" s="10">
        <v>206</v>
      </c>
      <c r="Q106" s="10">
        <v>206</v>
      </c>
      <c r="R106" s="10">
        <v>20</v>
      </c>
      <c r="S106" s="10">
        <v>47</v>
      </c>
      <c r="T106" s="1"/>
      <c r="U106" s="1"/>
      <c r="V106" s="1"/>
      <c r="W106" s="1"/>
      <c r="X106" s="1"/>
      <c r="Y106" s="1"/>
      <c r="Z106" s="1"/>
    </row>
    <row r="107" spans="1:26" ht="15.75" customHeight="1">
      <c r="A107" s="67">
        <v>102</v>
      </c>
      <c r="B107" s="10" t="s">
        <v>22</v>
      </c>
      <c r="C107" s="10" t="s">
        <v>218</v>
      </c>
      <c r="D107" s="10" t="s">
        <v>156</v>
      </c>
      <c r="E107" s="11"/>
      <c r="F107" s="10"/>
      <c r="G107" s="10"/>
      <c r="H107" s="12" t="s">
        <v>219</v>
      </c>
      <c r="I107" s="10">
        <v>35</v>
      </c>
      <c r="J107" s="10">
        <v>38</v>
      </c>
      <c r="K107" s="10">
        <v>40</v>
      </c>
      <c r="L107" s="10">
        <v>50</v>
      </c>
      <c r="M107" s="10">
        <v>88</v>
      </c>
      <c r="N107" s="10">
        <v>147</v>
      </c>
      <c r="O107" s="10">
        <v>177</v>
      </c>
      <c r="P107" s="10">
        <v>206</v>
      </c>
      <c r="Q107" s="10">
        <v>206</v>
      </c>
      <c r="R107" s="10">
        <v>20</v>
      </c>
      <c r="S107" s="10">
        <v>47</v>
      </c>
      <c r="T107" s="1"/>
      <c r="U107" s="1"/>
      <c r="V107" s="1"/>
      <c r="W107" s="1"/>
      <c r="X107" s="1"/>
      <c r="Y107" s="1"/>
      <c r="Z107" s="1"/>
    </row>
    <row r="108" spans="1:26" ht="15.75" customHeight="1">
      <c r="A108" s="67">
        <v>103</v>
      </c>
      <c r="B108" s="10" t="s">
        <v>22</v>
      </c>
      <c r="C108" s="10" t="s">
        <v>220</v>
      </c>
      <c r="D108" s="10" t="s">
        <v>156</v>
      </c>
      <c r="E108" s="11"/>
      <c r="F108" s="10"/>
      <c r="G108" s="10"/>
      <c r="H108" s="12" t="s">
        <v>221</v>
      </c>
      <c r="I108" s="10">
        <v>35</v>
      </c>
      <c r="J108" s="10">
        <v>38</v>
      </c>
      <c r="K108" s="10">
        <v>40</v>
      </c>
      <c r="L108" s="10">
        <v>50</v>
      </c>
      <c r="M108" s="10">
        <v>88</v>
      </c>
      <c r="N108" s="10">
        <v>147</v>
      </c>
      <c r="O108" s="10">
        <v>177</v>
      </c>
      <c r="P108" s="10">
        <v>206</v>
      </c>
      <c r="Q108" s="10">
        <v>206</v>
      </c>
      <c r="R108" s="10">
        <v>20</v>
      </c>
      <c r="S108" s="10">
        <v>47</v>
      </c>
      <c r="T108" s="1"/>
      <c r="U108" s="1"/>
      <c r="V108" s="1"/>
      <c r="W108" s="1"/>
      <c r="X108" s="1"/>
      <c r="Y108" s="1"/>
      <c r="Z108" s="1"/>
    </row>
    <row r="109" spans="1:26" ht="15.75" customHeight="1">
      <c r="A109" s="67">
        <v>104</v>
      </c>
      <c r="B109" s="10" t="s">
        <v>22</v>
      </c>
      <c r="C109" s="10" t="s">
        <v>222</v>
      </c>
      <c r="D109" s="10" t="s">
        <v>156</v>
      </c>
      <c r="E109" s="11"/>
      <c r="F109" s="10"/>
      <c r="G109" s="10"/>
      <c r="H109" s="12" t="s">
        <v>223</v>
      </c>
      <c r="I109" s="10">
        <v>35</v>
      </c>
      <c r="J109" s="10">
        <v>38</v>
      </c>
      <c r="K109" s="10">
        <v>40</v>
      </c>
      <c r="L109" s="10">
        <v>50</v>
      </c>
      <c r="M109" s="10">
        <v>88</v>
      </c>
      <c r="N109" s="10">
        <v>147</v>
      </c>
      <c r="O109" s="10">
        <v>177</v>
      </c>
      <c r="P109" s="10">
        <v>206</v>
      </c>
      <c r="Q109" s="10">
        <v>206</v>
      </c>
      <c r="R109" s="10">
        <v>20</v>
      </c>
      <c r="S109" s="10">
        <v>47</v>
      </c>
      <c r="T109" s="1"/>
      <c r="U109" s="1"/>
      <c r="V109" s="1"/>
      <c r="W109" s="1"/>
      <c r="X109" s="1"/>
      <c r="Y109" s="1"/>
      <c r="Z109" s="1"/>
    </row>
    <row r="110" spans="1:26" ht="15.75" customHeight="1">
      <c r="A110" s="67">
        <v>105</v>
      </c>
      <c r="B110" s="10" t="s">
        <v>22</v>
      </c>
      <c r="C110" s="10" t="s">
        <v>224</v>
      </c>
      <c r="D110" s="10" t="s">
        <v>156</v>
      </c>
      <c r="E110" s="11"/>
      <c r="F110" s="10"/>
      <c r="G110" s="10"/>
      <c r="H110" s="12" t="s">
        <v>225</v>
      </c>
      <c r="I110" s="10">
        <v>41</v>
      </c>
      <c r="J110" s="10">
        <v>47</v>
      </c>
      <c r="K110" s="10">
        <v>47</v>
      </c>
      <c r="L110" s="10">
        <v>59</v>
      </c>
      <c r="M110" s="10">
        <v>124</v>
      </c>
      <c r="N110" s="10">
        <v>147</v>
      </c>
      <c r="O110" s="10">
        <v>177</v>
      </c>
      <c r="P110" s="10">
        <v>206</v>
      </c>
      <c r="Q110" s="10">
        <v>206</v>
      </c>
      <c r="R110" s="10">
        <v>20</v>
      </c>
      <c r="S110" s="10">
        <v>47</v>
      </c>
      <c r="T110" s="1"/>
      <c r="U110" s="1"/>
      <c r="V110" s="1"/>
      <c r="W110" s="1"/>
      <c r="X110" s="1"/>
      <c r="Y110" s="1"/>
      <c r="Z110" s="1"/>
    </row>
    <row r="111" spans="1:26" ht="15.75" customHeight="1">
      <c r="A111" s="67">
        <v>106</v>
      </c>
      <c r="B111" s="10" t="s">
        <v>22</v>
      </c>
      <c r="C111" s="10" t="s">
        <v>226</v>
      </c>
      <c r="D111" s="10" t="s">
        <v>156</v>
      </c>
      <c r="E111" s="11"/>
      <c r="F111" s="10"/>
      <c r="G111" s="10"/>
      <c r="H111" s="12" t="s">
        <v>227</v>
      </c>
      <c r="I111" s="10">
        <v>35</v>
      </c>
      <c r="J111" s="10">
        <v>38</v>
      </c>
      <c r="K111" s="10">
        <v>40</v>
      </c>
      <c r="L111" s="10">
        <v>50</v>
      </c>
      <c r="M111" s="10">
        <v>88</v>
      </c>
      <c r="N111" s="10">
        <v>147</v>
      </c>
      <c r="O111" s="10">
        <v>177</v>
      </c>
      <c r="P111" s="10">
        <v>206</v>
      </c>
      <c r="Q111" s="10">
        <v>206</v>
      </c>
      <c r="R111" s="10">
        <v>20</v>
      </c>
      <c r="S111" s="10">
        <v>47</v>
      </c>
      <c r="T111" s="1"/>
      <c r="U111" s="1"/>
      <c r="V111" s="1"/>
      <c r="W111" s="1"/>
      <c r="X111" s="1"/>
      <c r="Y111" s="1"/>
      <c r="Z111" s="1"/>
    </row>
    <row r="112" spans="1:26" ht="15.75" customHeight="1">
      <c r="A112" s="67">
        <v>107</v>
      </c>
      <c r="B112" s="10" t="s">
        <v>22</v>
      </c>
      <c r="C112" s="10" t="s">
        <v>228</v>
      </c>
      <c r="D112" s="10" t="s">
        <v>156</v>
      </c>
      <c r="E112" s="11"/>
      <c r="F112" s="10"/>
      <c r="G112" s="10"/>
      <c r="H112" s="12" t="s">
        <v>229</v>
      </c>
      <c r="I112" s="10">
        <v>35</v>
      </c>
      <c r="J112" s="10">
        <v>38</v>
      </c>
      <c r="K112" s="10">
        <v>40</v>
      </c>
      <c r="L112" s="10">
        <v>50</v>
      </c>
      <c r="M112" s="10">
        <v>88</v>
      </c>
      <c r="N112" s="10">
        <v>147</v>
      </c>
      <c r="O112" s="10">
        <v>177</v>
      </c>
      <c r="P112" s="10">
        <v>206</v>
      </c>
      <c r="Q112" s="10">
        <v>206</v>
      </c>
      <c r="R112" s="10">
        <v>20</v>
      </c>
      <c r="S112" s="10">
        <v>47</v>
      </c>
      <c r="T112" s="1"/>
      <c r="U112" s="1"/>
      <c r="V112" s="1"/>
      <c r="W112" s="1"/>
      <c r="X112" s="1"/>
      <c r="Y112" s="1"/>
      <c r="Z112" s="1"/>
    </row>
    <row r="113" spans="1:26" ht="15.75" customHeight="1">
      <c r="A113" s="67">
        <v>108</v>
      </c>
      <c r="B113" s="10" t="s">
        <v>22</v>
      </c>
      <c r="C113" s="10" t="s">
        <v>230</v>
      </c>
      <c r="D113" s="10" t="s">
        <v>156</v>
      </c>
      <c r="E113" s="11"/>
      <c r="F113" s="10"/>
      <c r="G113" s="10"/>
      <c r="H113" s="12" t="s">
        <v>231</v>
      </c>
      <c r="I113" s="10">
        <v>35</v>
      </c>
      <c r="J113" s="10">
        <v>38</v>
      </c>
      <c r="K113" s="10">
        <v>40</v>
      </c>
      <c r="L113" s="10">
        <v>50</v>
      </c>
      <c r="M113" s="10">
        <v>88</v>
      </c>
      <c r="N113" s="10">
        <v>147</v>
      </c>
      <c r="O113" s="10">
        <v>177</v>
      </c>
      <c r="P113" s="10">
        <v>206</v>
      </c>
      <c r="Q113" s="10">
        <v>206</v>
      </c>
      <c r="R113" s="10">
        <v>20</v>
      </c>
      <c r="S113" s="10">
        <v>47</v>
      </c>
      <c r="T113" s="1"/>
      <c r="U113" s="1"/>
      <c r="V113" s="1"/>
      <c r="W113" s="1"/>
      <c r="X113" s="1"/>
      <c r="Y113" s="1"/>
      <c r="Z113" s="1"/>
    </row>
    <row r="114" spans="1:26" ht="15.75" customHeight="1">
      <c r="A114" s="67">
        <v>109</v>
      </c>
      <c r="B114" s="10" t="s">
        <v>22</v>
      </c>
      <c r="C114" s="10" t="s">
        <v>232</v>
      </c>
      <c r="D114" s="10" t="s">
        <v>156</v>
      </c>
      <c r="E114" s="11"/>
      <c r="F114" s="10"/>
      <c r="G114" s="10"/>
      <c r="H114" s="12" t="s">
        <v>233</v>
      </c>
      <c r="I114" s="10">
        <v>35</v>
      </c>
      <c r="J114" s="10">
        <v>38</v>
      </c>
      <c r="K114" s="10">
        <v>40</v>
      </c>
      <c r="L114" s="10">
        <v>50</v>
      </c>
      <c r="M114" s="10">
        <v>88</v>
      </c>
      <c r="N114" s="10">
        <v>147</v>
      </c>
      <c r="O114" s="10">
        <v>177</v>
      </c>
      <c r="P114" s="10">
        <v>206</v>
      </c>
      <c r="Q114" s="10">
        <v>206</v>
      </c>
      <c r="R114" s="10">
        <v>20</v>
      </c>
      <c r="S114" s="10">
        <v>47</v>
      </c>
      <c r="T114" s="1"/>
      <c r="U114" s="1"/>
      <c r="V114" s="1"/>
      <c r="W114" s="1"/>
      <c r="X114" s="1"/>
      <c r="Y114" s="1"/>
      <c r="Z114" s="1"/>
    </row>
    <row r="115" spans="1:26" ht="15.75" customHeight="1">
      <c r="A115" s="67">
        <v>110</v>
      </c>
      <c r="B115" s="10" t="s">
        <v>22</v>
      </c>
      <c r="C115" s="10" t="s">
        <v>234</v>
      </c>
      <c r="D115" s="10" t="s">
        <v>156</v>
      </c>
      <c r="E115" s="11"/>
      <c r="F115" s="10"/>
      <c r="G115" s="10"/>
      <c r="H115" s="12" t="s">
        <v>235</v>
      </c>
      <c r="I115" s="10">
        <v>35</v>
      </c>
      <c r="J115" s="10">
        <v>38</v>
      </c>
      <c r="K115" s="10">
        <v>40</v>
      </c>
      <c r="L115" s="10">
        <v>50</v>
      </c>
      <c r="M115" s="10">
        <v>88</v>
      </c>
      <c r="N115" s="10">
        <v>147</v>
      </c>
      <c r="O115" s="10">
        <v>177</v>
      </c>
      <c r="P115" s="10">
        <v>206</v>
      </c>
      <c r="Q115" s="10">
        <v>206</v>
      </c>
      <c r="R115" s="10">
        <v>20</v>
      </c>
      <c r="S115" s="10">
        <v>47</v>
      </c>
      <c r="T115" s="1"/>
      <c r="U115" s="1"/>
      <c r="V115" s="1"/>
      <c r="W115" s="1"/>
      <c r="X115" s="1"/>
      <c r="Y115" s="1"/>
      <c r="Z115" s="1"/>
    </row>
    <row r="116" spans="1:26" ht="15.75" customHeight="1">
      <c r="A116" s="67">
        <v>111</v>
      </c>
      <c r="B116" s="10" t="s">
        <v>22</v>
      </c>
      <c r="C116" s="10" t="s">
        <v>236</v>
      </c>
      <c r="D116" s="10" t="s">
        <v>156</v>
      </c>
      <c r="E116" s="11"/>
      <c r="F116" s="10"/>
      <c r="G116" s="10"/>
      <c r="H116" s="12" t="s">
        <v>237</v>
      </c>
      <c r="I116" s="10">
        <v>35</v>
      </c>
      <c r="J116" s="10">
        <v>38</v>
      </c>
      <c r="K116" s="10">
        <v>40</v>
      </c>
      <c r="L116" s="10">
        <v>50</v>
      </c>
      <c r="M116" s="10">
        <v>88</v>
      </c>
      <c r="N116" s="10">
        <v>147</v>
      </c>
      <c r="O116" s="10">
        <v>177</v>
      </c>
      <c r="P116" s="10">
        <v>206</v>
      </c>
      <c r="Q116" s="10">
        <v>206</v>
      </c>
      <c r="R116" s="10">
        <v>20</v>
      </c>
      <c r="S116" s="10">
        <v>47</v>
      </c>
      <c r="T116" s="1"/>
      <c r="U116" s="1"/>
      <c r="V116" s="1"/>
      <c r="W116" s="1"/>
      <c r="X116" s="1"/>
      <c r="Y116" s="1"/>
      <c r="Z116" s="1"/>
    </row>
    <row r="117" spans="1:26" ht="15.75" customHeight="1">
      <c r="A117" s="67">
        <v>112</v>
      </c>
      <c r="B117" s="10" t="s">
        <v>22</v>
      </c>
      <c r="C117" s="10" t="s">
        <v>238</v>
      </c>
      <c r="D117" s="10" t="s">
        <v>156</v>
      </c>
      <c r="E117" s="11"/>
      <c r="F117" s="10"/>
      <c r="G117" s="10"/>
      <c r="H117" s="12" t="s">
        <v>239</v>
      </c>
      <c r="I117" s="10">
        <v>35</v>
      </c>
      <c r="J117" s="10">
        <v>38</v>
      </c>
      <c r="K117" s="10">
        <v>40</v>
      </c>
      <c r="L117" s="10">
        <v>50</v>
      </c>
      <c r="M117" s="10">
        <v>88</v>
      </c>
      <c r="N117" s="10">
        <v>147</v>
      </c>
      <c r="O117" s="10">
        <v>177</v>
      </c>
      <c r="P117" s="10">
        <v>206</v>
      </c>
      <c r="Q117" s="10">
        <v>206</v>
      </c>
      <c r="R117" s="10">
        <v>20</v>
      </c>
      <c r="S117" s="10">
        <v>47</v>
      </c>
      <c r="T117" s="1"/>
      <c r="U117" s="1"/>
      <c r="V117" s="1"/>
      <c r="W117" s="1"/>
      <c r="X117" s="1"/>
      <c r="Y117" s="1"/>
      <c r="Z117" s="1"/>
    </row>
    <row r="118" spans="1:26" ht="15.75" customHeight="1">
      <c r="A118" s="67">
        <v>113</v>
      </c>
      <c r="B118" s="10" t="s">
        <v>22</v>
      </c>
      <c r="C118" s="10" t="s">
        <v>240</v>
      </c>
      <c r="D118" s="10" t="s">
        <v>156</v>
      </c>
      <c r="E118" s="11"/>
      <c r="F118" s="10"/>
      <c r="G118" s="10"/>
      <c r="H118" s="12" t="s">
        <v>241</v>
      </c>
      <c r="I118" s="10">
        <v>35</v>
      </c>
      <c r="J118" s="10">
        <v>38</v>
      </c>
      <c r="K118" s="10">
        <v>40</v>
      </c>
      <c r="L118" s="10">
        <v>50</v>
      </c>
      <c r="M118" s="10">
        <v>88</v>
      </c>
      <c r="N118" s="10">
        <v>147</v>
      </c>
      <c r="O118" s="10">
        <v>177</v>
      </c>
      <c r="P118" s="10">
        <v>206</v>
      </c>
      <c r="Q118" s="10">
        <v>206</v>
      </c>
      <c r="R118" s="10">
        <v>20</v>
      </c>
      <c r="S118" s="10">
        <v>47</v>
      </c>
      <c r="T118" s="1"/>
      <c r="U118" s="1"/>
      <c r="V118" s="1"/>
      <c r="W118" s="1"/>
      <c r="X118" s="1"/>
      <c r="Y118" s="1"/>
      <c r="Z118" s="1"/>
    </row>
    <row r="119" spans="1:26" ht="15.75" customHeight="1">
      <c r="A119" s="67">
        <v>114</v>
      </c>
      <c r="B119" s="10" t="s">
        <v>22</v>
      </c>
      <c r="C119" s="10" t="s">
        <v>242</v>
      </c>
      <c r="D119" s="10" t="s">
        <v>156</v>
      </c>
      <c r="E119" s="11"/>
      <c r="F119" s="10"/>
      <c r="G119" s="10"/>
      <c r="H119" s="12" t="s">
        <v>243</v>
      </c>
      <c r="I119" s="10">
        <v>35</v>
      </c>
      <c r="J119" s="10">
        <v>38</v>
      </c>
      <c r="K119" s="10">
        <v>40</v>
      </c>
      <c r="L119" s="10">
        <v>50</v>
      </c>
      <c r="M119" s="10">
        <v>88</v>
      </c>
      <c r="N119" s="10">
        <v>147</v>
      </c>
      <c r="O119" s="10">
        <v>177</v>
      </c>
      <c r="P119" s="10">
        <v>206</v>
      </c>
      <c r="Q119" s="10">
        <v>206</v>
      </c>
      <c r="R119" s="10">
        <v>20</v>
      </c>
      <c r="S119" s="10">
        <v>47</v>
      </c>
      <c r="T119" s="1"/>
      <c r="U119" s="1"/>
      <c r="V119" s="1"/>
      <c r="W119" s="1"/>
      <c r="X119" s="1"/>
      <c r="Y119" s="1"/>
      <c r="Z119" s="1"/>
    </row>
    <row r="120" spans="1:26" ht="15.75" customHeight="1">
      <c r="A120" s="67">
        <v>115</v>
      </c>
      <c r="B120" s="10" t="s">
        <v>22</v>
      </c>
      <c r="C120" s="10" t="s">
        <v>244</v>
      </c>
      <c r="D120" s="10" t="s">
        <v>156</v>
      </c>
      <c r="E120" s="11"/>
      <c r="F120" s="10"/>
      <c r="G120" s="10"/>
      <c r="H120" s="12" t="s">
        <v>245</v>
      </c>
      <c r="I120" s="10">
        <v>35</v>
      </c>
      <c r="J120" s="10">
        <v>38</v>
      </c>
      <c r="K120" s="10">
        <v>40</v>
      </c>
      <c r="L120" s="10">
        <v>50</v>
      </c>
      <c r="M120" s="10">
        <v>88</v>
      </c>
      <c r="N120" s="10">
        <v>147</v>
      </c>
      <c r="O120" s="10">
        <v>177</v>
      </c>
      <c r="P120" s="10">
        <v>206</v>
      </c>
      <c r="Q120" s="10">
        <v>206</v>
      </c>
      <c r="R120" s="10">
        <v>20</v>
      </c>
      <c r="S120" s="10">
        <v>47</v>
      </c>
      <c r="T120" s="1"/>
      <c r="U120" s="1"/>
      <c r="V120" s="1"/>
      <c r="W120" s="1"/>
      <c r="X120" s="1"/>
      <c r="Y120" s="1"/>
      <c r="Z120" s="1"/>
    </row>
    <row r="121" spans="1:26" ht="15.75" customHeight="1">
      <c r="A121" s="67">
        <v>116</v>
      </c>
      <c r="B121" s="10" t="s">
        <v>22</v>
      </c>
      <c r="C121" s="10" t="s">
        <v>246</v>
      </c>
      <c r="D121" s="10" t="s">
        <v>156</v>
      </c>
      <c r="E121" s="11"/>
      <c r="F121" s="10"/>
      <c r="G121" s="10"/>
      <c r="H121" s="12" t="s">
        <v>247</v>
      </c>
      <c r="I121" s="10">
        <v>35</v>
      </c>
      <c r="J121" s="10">
        <v>38</v>
      </c>
      <c r="K121" s="10">
        <v>40</v>
      </c>
      <c r="L121" s="10">
        <v>50</v>
      </c>
      <c r="M121" s="10">
        <v>88</v>
      </c>
      <c r="N121" s="10">
        <v>147</v>
      </c>
      <c r="O121" s="10">
        <v>177</v>
      </c>
      <c r="P121" s="10">
        <v>206</v>
      </c>
      <c r="Q121" s="10">
        <v>206</v>
      </c>
      <c r="R121" s="10">
        <v>20</v>
      </c>
      <c r="S121" s="10">
        <v>47</v>
      </c>
      <c r="T121" s="1"/>
      <c r="U121" s="1"/>
      <c r="V121" s="1"/>
      <c r="W121" s="1"/>
      <c r="X121" s="1"/>
      <c r="Y121" s="1"/>
      <c r="Z121" s="1"/>
    </row>
    <row r="122" spans="1:26" ht="15.75" customHeight="1">
      <c r="A122" s="67">
        <v>117</v>
      </c>
      <c r="B122" s="10" t="s">
        <v>22</v>
      </c>
      <c r="C122" s="10" t="s">
        <v>248</v>
      </c>
      <c r="D122" s="10" t="s">
        <v>156</v>
      </c>
      <c r="E122" s="11"/>
      <c r="F122" s="10"/>
      <c r="G122" s="10"/>
      <c r="H122" s="12" t="s">
        <v>249</v>
      </c>
      <c r="I122" s="10">
        <v>35</v>
      </c>
      <c r="J122" s="10">
        <v>38</v>
      </c>
      <c r="K122" s="10">
        <v>40</v>
      </c>
      <c r="L122" s="10">
        <v>50</v>
      </c>
      <c r="M122" s="10">
        <v>88</v>
      </c>
      <c r="N122" s="10">
        <v>147</v>
      </c>
      <c r="O122" s="10">
        <v>177</v>
      </c>
      <c r="P122" s="10">
        <v>206</v>
      </c>
      <c r="Q122" s="10">
        <v>206</v>
      </c>
      <c r="R122" s="10">
        <v>20</v>
      </c>
      <c r="S122" s="10">
        <v>47</v>
      </c>
      <c r="T122" s="1"/>
      <c r="U122" s="1"/>
      <c r="V122" s="1"/>
      <c r="W122" s="1"/>
      <c r="X122" s="1"/>
      <c r="Y122" s="1"/>
      <c r="Z122" s="1"/>
    </row>
    <row r="123" spans="1:26" ht="15.75" customHeight="1">
      <c r="A123" s="67">
        <v>118</v>
      </c>
      <c r="B123" s="10" t="s">
        <v>22</v>
      </c>
      <c r="C123" s="10" t="s">
        <v>250</v>
      </c>
      <c r="D123" s="10" t="s">
        <v>156</v>
      </c>
      <c r="E123" s="11"/>
      <c r="F123" s="10"/>
      <c r="G123" s="10"/>
      <c r="H123" s="12" t="s">
        <v>251</v>
      </c>
      <c r="I123" s="10">
        <v>35</v>
      </c>
      <c r="J123" s="10">
        <v>38</v>
      </c>
      <c r="K123" s="10">
        <v>40</v>
      </c>
      <c r="L123" s="10">
        <v>50</v>
      </c>
      <c r="M123" s="10">
        <v>88</v>
      </c>
      <c r="N123" s="10">
        <v>147</v>
      </c>
      <c r="O123" s="10">
        <v>177</v>
      </c>
      <c r="P123" s="10">
        <v>206</v>
      </c>
      <c r="Q123" s="10">
        <v>206</v>
      </c>
      <c r="R123" s="10">
        <v>20</v>
      </c>
      <c r="S123" s="10">
        <v>47</v>
      </c>
      <c r="T123" s="1"/>
      <c r="U123" s="1"/>
      <c r="V123" s="1"/>
      <c r="W123" s="1"/>
      <c r="X123" s="1"/>
      <c r="Y123" s="1"/>
      <c r="Z123" s="1"/>
    </row>
    <row r="124" spans="1:26" ht="15.75" customHeight="1">
      <c r="A124" s="67">
        <v>119</v>
      </c>
      <c r="B124" s="10" t="s">
        <v>22</v>
      </c>
      <c r="C124" s="10" t="s">
        <v>252</v>
      </c>
      <c r="D124" s="10" t="s">
        <v>156</v>
      </c>
      <c r="E124" s="11"/>
      <c r="F124" s="10"/>
      <c r="G124" s="10"/>
      <c r="H124" s="12" t="s">
        <v>253</v>
      </c>
      <c r="I124" s="10">
        <v>35</v>
      </c>
      <c r="J124" s="10">
        <v>38</v>
      </c>
      <c r="K124" s="10">
        <v>40</v>
      </c>
      <c r="L124" s="10">
        <v>50</v>
      </c>
      <c r="M124" s="10">
        <v>88</v>
      </c>
      <c r="N124" s="10">
        <v>147</v>
      </c>
      <c r="O124" s="10">
        <v>177</v>
      </c>
      <c r="P124" s="10">
        <v>206</v>
      </c>
      <c r="Q124" s="10">
        <v>206</v>
      </c>
      <c r="R124" s="10">
        <v>20</v>
      </c>
      <c r="S124" s="10">
        <v>47</v>
      </c>
      <c r="T124" s="1"/>
      <c r="U124" s="1"/>
      <c r="V124" s="1"/>
      <c r="W124" s="1"/>
      <c r="X124" s="1"/>
      <c r="Y124" s="1"/>
      <c r="Z124" s="1"/>
    </row>
    <row r="125" spans="1:26" ht="15.75" customHeight="1">
      <c r="A125" s="67">
        <v>120</v>
      </c>
      <c r="B125" s="10" t="s">
        <v>22</v>
      </c>
      <c r="C125" s="10" t="s">
        <v>254</v>
      </c>
      <c r="D125" s="10" t="s">
        <v>156</v>
      </c>
      <c r="E125" s="11"/>
      <c r="F125" s="10"/>
      <c r="G125" s="10"/>
      <c r="H125" s="12" t="s">
        <v>255</v>
      </c>
      <c r="I125" s="10">
        <v>35</v>
      </c>
      <c r="J125" s="10">
        <v>38</v>
      </c>
      <c r="K125" s="10">
        <v>40</v>
      </c>
      <c r="L125" s="10">
        <v>50</v>
      </c>
      <c r="M125" s="10">
        <v>88</v>
      </c>
      <c r="N125" s="10">
        <v>147</v>
      </c>
      <c r="O125" s="10">
        <v>177</v>
      </c>
      <c r="P125" s="10">
        <v>206</v>
      </c>
      <c r="Q125" s="10">
        <v>206</v>
      </c>
      <c r="R125" s="10">
        <v>20</v>
      </c>
      <c r="S125" s="10">
        <v>47</v>
      </c>
      <c r="T125" s="1"/>
      <c r="U125" s="1"/>
      <c r="V125" s="1"/>
      <c r="W125" s="1"/>
      <c r="X125" s="1"/>
      <c r="Y125" s="1"/>
      <c r="Z125" s="1"/>
    </row>
    <row r="126" spans="1:26" ht="15.75" customHeight="1">
      <c r="A126" s="67">
        <v>121</v>
      </c>
      <c r="B126" s="10" t="s">
        <v>22</v>
      </c>
      <c r="C126" s="10" t="s">
        <v>256</v>
      </c>
      <c r="D126" s="10" t="s">
        <v>156</v>
      </c>
      <c r="E126" s="11"/>
      <c r="F126" s="10"/>
      <c r="G126" s="10"/>
      <c r="H126" s="12" t="s">
        <v>257</v>
      </c>
      <c r="I126" s="10">
        <v>35</v>
      </c>
      <c r="J126" s="10">
        <v>38</v>
      </c>
      <c r="K126" s="10">
        <v>40</v>
      </c>
      <c r="L126" s="10">
        <v>50</v>
      </c>
      <c r="M126" s="10">
        <v>88</v>
      </c>
      <c r="N126" s="10">
        <v>147</v>
      </c>
      <c r="O126" s="10">
        <v>177</v>
      </c>
      <c r="P126" s="10">
        <v>206</v>
      </c>
      <c r="Q126" s="10">
        <v>206</v>
      </c>
      <c r="R126" s="10">
        <v>20</v>
      </c>
      <c r="S126" s="10">
        <v>47</v>
      </c>
      <c r="T126" s="1"/>
      <c r="U126" s="1"/>
      <c r="V126" s="1"/>
      <c r="W126" s="1"/>
      <c r="X126" s="1"/>
      <c r="Y126" s="1"/>
      <c r="Z126" s="1"/>
    </row>
    <row r="127" spans="1:26" ht="15.75" customHeight="1">
      <c r="A127" s="67">
        <v>122</v>
      </c>
      <c r="B127" s="10" t="s">
        <v>22</v>
      </c>
      <c r="C127" s="10" t="s">
        <v>258</v>
      </c>
      <c r="D127" s="10" t="s">
        <v>156</v>
      </c>
      <c r="E127" s="11"/>
      <c r="F127" s="10"/>
      <c r="G127" s="10"/>
      <c r="H127" s="12" t="s">
        <v>259</v>
      </c>
      <c r="I127" s="10">
        <v>35</v>
      </c>
      <c r="J127" s="10">
        <v>38</v>
      </c>
      <c r="K127" s="10">
        <v>40</v>
      </c>
      <c r="L127" s="10">
        <v>50</v>
      </c>
      <c r="M127" s="10">
        <v>88</v>
      </c>
      <c r="N127" s="10">
        <v>147</v>
      </c>
      <c r="O127" s="10">
        <v>177</v>
      </c>
      <c r="P127" s="10">
        <v>206</v>
      </c>
      <c r="Q127" s="10">
        <v>206</v>
      </c>
      <c r="R127" s="10">
        <v>20</v>
      </c>
      <c r="S127" s="10">
        <v>47</v>
      </c>
      <c r="T127" s="1"/>
      <c r="U127" s="1"/>
      <c r="V127" s="1"/>
      <c r="W127" s="1"/>
      <c r="X127" s="1"/>
      <c r="Y127" s="1"/>
      <c r="Z127" s="1"/>
    </row>
    <row r="128" spans="1:26" ht="15.75" customHeight="1">
      <c r="A128" s="67">
        <v>123</v>
      </c>
      <c r="B128" s="10" t="s">
        <v>22</v>
      </c>
      <c r="C128" s="10" t="s">
        <v>260</v>
      </c>
      <c r="D128" s="10" t="s">
        <v>156</v>
      </c>
      <c r="E128" s="11"/>
      <c r="F128" s="10"/>
      <c r="G128" s="10"/>
      <c r="H128" s="12" t="s">
        <v>261</v>
      </c>
      <c r="I128" s="10">
        <v>41</v>
      </c>
      <c r="J128" s="10">
        <v>47</v>
      </c>
      <c r="K128" s="10">
        <v>47</v>
      </c>
      <c r="L128" s="10">
        <v>59</v>
      </c>
      <c r="M128" s="10">
        <v>88</v>
      </c>
      <c r="N128" s="10">
        <v>147</v>
      </c>
      <c r="O128" s="10">
        <v>177</v>
      </c>
      <c r="P128" s="10">
        <v>206</v>
      </c>
      <c r="Q128" s="10">
        <v>206</v>
      </c>
      <c r="R128" s="10">
        <v>20</v>
      </c>
      <c r="S128" s="10">
        <v>47</v>
      </c>
      <c r="T128" s="1"/>
      <c r="U128" s="1"/>
      <c r="V128" s="1"/>
      <c r="W128" s="1"/>
      <c r="X128" s="1"/>
      <c r="Y128" s="1"/>
      <c r="Z128" s="1"/>
    </row>
    <row r="129" spans="1:26" ht="15.75" customHeight="1">
      <c r="A129" s="67">
        <v>124</v>
      </c>
      <c r="B129" s="10" t="s">
        <v>22</v>
      </c>
      <c r="C129" s="10" t="s">
        <v>262</v>
      </c>
      <c r="D129" s="10" t="s">
        <v>156</v>
      </c>
      <c r="E129" s="11"/>
      <c r="F129" s="10"/>
      <c r="G129" s="10"/>
      <c r="H129" s="12" t="s">
        <v>263</v>
      </c>
      <c r="I129" s="10">
        <v>35</v>
      </c>
      <c r="J129" s="10">
        <v>38</v>
      </c>
      <c r="K129" s="10">
        <v>40</v>
      </c>
      <c r="L129" s="10">
        <v>50</v>
      </c>
      <c r="M129" s="10">
        <v>88</v>
      </c>
      <c r="N129" s="10">
        <v>147</v>
      </c>
      <c r="O129" s="10">
        <v>177</v>
      </c>
      <c r="P129" s="10">
        <v>206</v>
      </c>
      <c r="Q129" s="10">
        <v>206</v>
      </c>
      <c r="R129" s="10">
        <v>20</v>
      </c>
      <c r="S129" s="10">
        <v>47</v>
      </c>
      <c r="T129" s="1"/>
      <c r="U129" s="1"/>
      <c r="V129" s="1"/>
      <c r="W129" s="1"/>
      <c r="X129" s="1"/>
      <c r="Y129" s="1"/>
      <c r="Z129" s="1"/>
    </row>
    <row r="130" spans="1:26" ht="15.75" customHeight="1">
      <c r="A130" s="67">
        <v>125</v>
      </c>
      <c r="B130" s="10" t="s">
        <v>22</v>
      </c>
      <c r="C130" s="10" t="s">
        <v>264</v>
      </c>
      <c r="D130" s="10" t="s">
        <v>156</v>
      </c>
      <c r="E130" s="11"/>
      <c r="F130" s="10"/>
      <c r="G130" s="10"/>
      <c r="H130" s="12" t="s">
        <v>265</v>
      </c>
      <c r="I130" s="10">
        <v>41</v>
      </c>
      <c r="J130" s="10">
        <v>47</v>
      </c>
      <c r="K130" s="10">
        <v>47</v>
      </c>
      <c r="L130" s="10">
        <v>59</v>
      </c>
      <c r="M130" s="10">
        <v>124</v>
      </c>
      <c r="N130" s="10">
        <v>147</v>
      </c>
      <c r="O130" s="10">
        <v>177</v>
      </c>
      <c r="P130" s="10">
        <v>206</v>
      </c>
      <c r="Q130" s="10">
        <v>206</v>
      </c>
      <c r="R130" s="10">
        <v>20</v>
      </c>
      <c r="S130" s="10">
        <v>47</v>
      </c>
      <c r="T130" s="1"/>
      <c r="U130" s="1"/>
      <c r="V130" s="1"/>
      <c r="W130" s="1"/>
      <c r="X130" s="1"/>
      <c r="Y130" s="1"/>
      <c r="Z130" s="1"/>
    </row>
    <row r="131" spans="1:26" ht="15.75" customHeight="1">
      <c r="A131" s="67">
        <v>126</v>
      </c>
      <c r="B131" s="10" t="s">
        <v>22</v>
      </c>
      <c r="C131" s="10" t="s">
        <v>266</v>
      </c>
      <c r="D131" s="10" t="s">
        <v>156</v>
      </c>
      <c r="E131" s="11"/>
      <c r="F131" s="10"/>
      <c r="G131" s="10"/>
      <c r="H131" s="12" t="s">
        <v>267</v>
      </c>
      <c r="I131" s="10">
        <v>41</v>
      </c>
      <c r="J131" s="10">
        <v>47</v>
      </c>
      <c r="K131" s="10">
        <v>47</v>
      </c>
      <c r="L131" s="10">
        <v>59</v>
      </c>
      <c r="M131" s="10">
        <v>124</v>
      </c>
      <c r="N131" s="10">
        <v>147</v>
      </c>
      <c r="O131" s="10">
        <v>177</v>
      </c>
      <c r="P131" s="10">
        <v>206</v>
      </c>
      <c r="Q131" s="10">
        <v>206</v>
      </c>
      <c r="R131" s="10">
        <v>20</v>
      </c>
      <c r="S131" s="10">
        <v>47</v>
      </c>
      <c r="T131" s="1"/>
      <c r="U131" s="1"/>
      <c r="V131" s="1"/>
      <c r="W131" s="1"/>
      <c r="X131" s="1"/>
      <c r="Y131" s="1"/>
      <c r="Z131" s="1"/>
    </row>
    <row r="132" spans="1:26" ht="15.75" customHeight="1">
      <c r="A132" s="67">
        <v>127</v>
      </c>
      <c r="B132" s="10" t="s">
        <v>22</v>
      </c>
      <c r="C132" s="10" t="s">
        <v>268</v>
      </c>
      <c r="D132" s="10" t="s">
        <v>156</v>
      </c>
      <c r="E132" s="11"/>
      <c r="F132" s="10"/>
      <c r="G132" s="10"/>
      <c r="H132" s="12" t="s">
        <v>269</v>
      </c>
      <c r="I132" s="10">
        <v>35</v>
      </c>
      <c r="J132" s="10">
        <v>38</v>
      </c>
      <c r="K132" s="10">
        <v>40</v>
      </c>
      <c r="L132" s="10">
        <v>50</v>
      </c>
      <c r="M132" s="10">
        <v>88</v>
      </c>
      <c r="N132" s="10">
        <v>147</v>
      </c>
      <c r="O132" s="10">
        <v>177</v>
      </c>
      <c r="P132" s="10">
        <v>206</v>
      </c>
      <c r="Q132" s="10">
        <v>206</v>
      </c>
      <c r="R132" s="10">
        <v>20</v>
      </c>
      <c r="S132" s="10">
        <v>47</v>
      </c>
      <c r="T132" s="1"/>
      <c r="U132" s="1"/>
      <c r="V132" s="1"/>
      <c r="W132" s="1"/>
      <c r="X132" s="1"/>
      <c r="Y132" s="1"/>
      <c r="Z132" s="1"/>
    </row>
    <row r="133" spans="1:26" ht="15.75" customHeight="1">
      <c r="A133" s="67">
        <v>128</v>
      </c>
      <c r="B133" s="10" t="s">
        <v>22</v>
      </c>
      <c r="C133" s="10" t="s">
        <v>270</v>
      </c>
      <c r="D133" s="10" t="s">
        <v>156</v>
      </c>
      <c r="E133" s="11"/>
      <c r="F133" s="10"/>
      <c r="G133" s="10"/>
      <c r="H133" s="12" t="s">
        <v>271</v>
      </c>
      <c r="I133" s="10">
        <v>41</v>
      </c>
      <c r="J133" s="10">
        <v>47</v>
      </c>
      <c r="K133" s="10">
        <v>47</v>
      </c>
      <c r="L133" s="10">
        <v>59</v>
      </c>
      <c r="M133" s="10">
        <v>124</v>
      </c>
      <c r="N133" s="10">
        <v>147</v>
      </c>
      <c r="O133" s="10">
        <v>177</v>
      </c>
      <c r="P133" s="10">
        <v>206</v>
      </c>
      <c r="Q133" s="10">
        <v>206</v>
      </c>
      <c r="R133" s="10">
        <v>20</v>
      </c>
      <c r="S133" s="10">
        <v>47</v>
      </c>
      <c r="T133" s="1"/>
      <c r="U133" s="1"/>
      <c r="V133" s="1"/>
      <c r="W133" s="1"/>
      <c r="X133" s="1"/>
      <c r="Y133" s="1"/>
      <c r="Z133" s="1"/>
    </row>
    <row r="134" spans="1:26" ht="15.75" customHeight="1">
      <c r="A134" s="67">
        <v>129</v>
      </c>
      <c r="B134" s="10" t="s">
        <v>22</v>
      </c>
      <c r="C134" s="10" t="s">
        <v>272</v>
      </c>
      <c r="D134" s="10" t="s">
        <v>156</v>
      </c>
      <c r="E134" s="11"/>
      <c r="F134" s="10"/>
      <c r="G134" s="10"/>
      <c r="H134" s="12" t="s">
        <v>273</v>
      </c>
      <c r="I134" s="10">
        <v>35</v>
      </c>
      <c r="J134" s="10">
        <v>38</v>
      </c>
      <c r="K134" s="10">
        <v>40</v>
      </c>
      <c r="L134" s="10">
        <v>50</v>
      </c>
      <c r="M134" s="10">
        <v>88</v>
      </c>
      <c r="N134" s="10">
        <v>147</v>
      </c>
      <c r="O134" s="10">
        <v>177</v>
      </c>
      <c r="P134" s="10">
        <v>206</v>
      </c>
      <c r="Q134" s="10">
        <v>206</v>
      </c>
      <c r="R134" s="10">
        <v>20</v>
      </c>
      <c r="S134" s="10">
        <v>47</v>
      </c>
      <c r="T134" s="1"/>
      <c r="U134" s="1"/>
      <c r="V134" s="1"/>
      <c r="W134" s="1"/>
      <c r="X134" s="1"/>
      <c r="Y134" s="1"/>
      <c r="Z134" s="1"/>
    </row>
    <row r="135" spans="1:26" ht="15.75" customHeight="1">
      <c r="A135" s="67">
        <v>130</v>
      </c>
      <c r="B135" s="10" t="s">
        <v>21</v>
      </c>
      <c r="C135" s="10" t="s">
        <v>274</v>
      </c>
      <c r="D135" s="10" t="s">
        <v>156</v>
      </c>
      <c r="E135" s="11"/>
      <c r="F135" s="10"/>
      <c r="G135" s="10"/>
      <c r="H135" s="12" t="s">
        <v>275</v>
      </c>
      <c r="I135" s="10">
        <v>30</v>
      </c>
      <c r="J135" s="10">
        <v>30</v>
      </c>
      <c r="K135" s="10">
        <v>36</v>
      </c>
      <c r="L135" s="10">
        <v>48</v>
      </c>
      <c r="M135" s="10">
        <v>124</v>
      </c>
      <c r="N135" s="10">
        <v>147</v>
      </c>
      <c r="O135" s="10">
        <v>177</v>
      </c>
      <c r="P135" s="10">
        <v>206</v>
      </c>
      <c r="Q135" s="10">
        <v>206</v>
      </c>
      <c r="R135" s="10">
        <v>20</v>
      </c>
      <c r="S135" s="10">
        <v>47</v>
      </c>
      <c r="T135" s="1"/>
      <c r="U135" s="1"/>
      <c r="V135" s="1"/>
      <c r="W135" s="1"/>
      <c r="X135" s="1"/>
      <c r="Y135" s="1"/>
      <c r="Z135" s="1"/>
    </row>
    <row r="136" spans="1:26" ht="15.75" customHeight="1">
      <c r="A136" s="67">
        <v>131</v>
      </c>
      <c r="B136" s="10" t="s">
        <v>21</v>
      </c>
      <c r="C136" s="10" t="s">
        <v>276</v>
      </c>
      <c r="D136" s="10" t="s">
        <v>156</v>
      </c>
      <c r="E136" s="11"/>
      <c r="F136" s="10"/>
      <c r="G136" s="10"/>
      <c r="H136" s="12" t="s">
        <v>277</v>
      </c>
      <c r="I136" s="10">
        <v>30</v>
      </c>
      <c r="J136" s="10">
        <v>30</v>
      </c>
      <c r="K136" s="10">
        <v>36</v>
      </c>
      <c r="L136" s="10">
        <v>48</v>
      </c>
      <c r="M136" s="10">
        <v>124</v>
      </c>
      <c r="N136" s="10">
        <v>147</v>
      </c>
      <c r="O136" s="10">
        <v>177</v>
      </c>
      <c r="P136" s="10">
        <v>206</v>
      </c>
      <c r="Q136" s="10">
        <v>206</v>
      </c>
      <c r="R136" s="10">
        <v>20</v>
      </c>
      <c r="S136" s="10">
        <v>47</v>
      </c>
      <c r="T136" s="1"/>
      <c r="U136" s="1"/>
      <c r="V136" s="1"/>
      <c r="W136" s="1"/>
      <c r="X136" s="1"/>
      <c r="Y136" s="1"/>
      <c r="Z136" s="1"/>
    </row>
    <row r="137" spans="1:26" ht="15.75" customHeight="1">
      <c r="A137" s="67">
        <v>132</v>
      </c>
      <c r="B137" s="10" t="s">
        <v>22</v>
      </c>
      <c r="C137" s="10" t="s">
        <v>278</v>
      </c>
      <c r="D137" s="10" t="s">
        <v>156</v>
      </c>
      <c r="E137" s="11"/>
      <c r="F137" s="10"/>
      <c r="G137" s="10"/>
      <c r="H137" s="12" t="s">
        <v>279</v>
      </c>
      <c r="I137" s="10">
        <v>12</v>
      </c>
      <c r="J137" s="10">
        <v>18</v>
      </c>
      <c r="K137" s="10">
        <v>12</v>
      </c>
      <c r="L137" s="10">
        <v>24</v>
      </c>
      <c r="M137" s="10">
        <v>35</v>
      </c>
      <c r="N137" s="10">
        <v>47</v>
      </c>
      <c r="O137" s="10">
        <v>59</v>
      </c>
      <c r="P137" s="10">
        <v>74</v>
      </c>
      <c r="Q137" s="10">
        <v>74</v>
      </c>
      <c r="R137" s="10">
        <v>20</v>
      </c>
      <c r="S137" s="10">
        <v>24</v>
      </c>
      <c r="T137" s="1"/>
      <c r="U137" s="1"/>
      <c r="V137" s="1"/>
      <c r="W137" s="1"/>
      <c r="X137" s="1"/>
      <c r="Y137" s="1"/>
      <c r="Z137" s="1"/>
    </row>
    <row r="138" spans="1:26" ht="15.75" customHeight="1">
      <c r="A138" s="67">
        <v>133</v>
      </c>
      <c r="B138" s="10" t="s">
        <v>22</v>
      </c>
      <c r="C138" s="10" t="s">
        <v>280</v>
      </c>
      <c r="D138" s="10" t="s">
        <v>156</v>
      </c>
      <c r="E138" s="11"/>
      <c r="F138" s="10"/>
      <c r="G138" s="10"/>
      <c r="H138" s="12" t="s">
        <v>281</v>
      </c>
      <c r="I138" s="10">
        <v>12</v>
      </c>
      <c r="J138" s="10">
        <v>18</v>
      </c>
      <c r="K138" s="10">
        <v>12</v>
      </c>
      <c r="L138" s="10">
        <v>24</v>
      </c>
      <c r="M138" s="10">
        <v>35</v>
      </c>
      <c r="N138" s="10">
        <v>47</v>
      </c>
      <c r="O138" s="10">
        <v>59</v>
      </c>
      <c r="P138" s="10">
        <v>74</v>
      </c>
      <c r="Q138" s="10">
        <v>74</v>
      </c>
      <c r="R138" s="10">
        <v>20</v>
      </c>
      <c r="S138" s="10">
        <v>24</v>
      </c>
      <c r="T138" s="1"/>
      <c r="U138" s="1"/>
      <c r="V138" s="1"/>
      <c r="W138" s="1"/>
      <c r="X138" s="1"/>
      <c r="Y138" s="1"/>
      <c r="Z138" s="1"/>
    </row>
    <row r="139" spans="1:26" ht="15.75" customHeight="1">
      <c r="A139" s="67">
        <v>134</v>
      </c>
      <c r="B139" s="10" t="s">
        <v>282</v>
      </c>
      <c r="C139" s="10" t="s">
        <v>283</v>
      </c>
      <c r="D139" s="10" t="s">
        <v>156</v>
      </c>
      <c r="E139" s="11"/>
      <c r="F139" s="10"/>
      <c r="G139" s="10"/>
      <c r="H139" s="12" t="s">
        <v>284</v>
      </c>
      <c r="I139" s="10">
        <v>1</v>
      </c>
      <c r="J139" s="10">
        <v>1</v>
      </c>
      <c r="K139" s="10">
        <v>1</v>
      </c>
      <c r="L139" s="10">
        <v>1</v>
      </c>
      <c r="M139" s="10">
        <v>1</v>
      </c>
      <c r="N139" s="10">
        <v>1</v>
      </c>
      <c r="O139" s="10">
        <v>1</v>
      </c>
      <c r="P139" s="10">
        <v>1</v>
      </c>
      <c r="Q139" s="10">
        <v>1</v>
      </c>
      <c r="R139" s="10">
        <v>20</v>
      </c>
      <c r="S139" s="10">
        <v>1</v>
      </c>
      <c r="T139" s="1"/>
      <c r="U139" s="1"/>
      <c r="V139" s="1"/>
      <c r="W139" s="1"/>
      <c r="X139" s="1"/>
      <c r="Y139" s="1"/>
      <c r="Z139" s="1"/>
    </row>
    <row r="140" spans="1:26" ht="15.75" customHeight="1">
      <c r="A140" s="67">
        <v>135</v>
      </c>
      <c r="B140" s="10" t="s">
        <v>22</v>
      </c>
      <c r="C140" s="10" t="s">
        <v>285</v>
      </c>
      <c r="D140" s="10" t="s">
        <v>36</v>
      </c>
      <c r="E140" s="10"/>
      <c r="F140" s="10"/>
      <c r="G140" s="10"/>
      <c r="H140" s="12" t="s">
        <v>286</v>
      </c>
      <c r="I140" s="10">
        <v>20</v>
      </c>
      <c r="J140" s="10">
        <v>30</v>
      </c>
      <c r="K140" s="10">
        <v>30</v>
      </c>
      <c r="L140" s="10">
        <v>30</v>
      </c>
      <c r="M140" s="10">
        <v>60</v>
      </c>
      <c r="N140" s="10">
        <v>89</v>
      </c>
      <c r="O140" s="10">
        <v>178</v>
      </c>
      <c r="P140" s="10">
        <v>237</v>
      </c>
      <c r="Q140" s="10">
        <v>237</v>
      </c>
      <c r="R140" s="10">
        <v>30</v>
      </c>
      <c r="S140" s="10">
        <v>65</v>
      </c>
      <c r="T140" s="1"/>
      <c r="U140" s="1"/>
      <c r="V140" s="1"/>
      <c r="W140" s="1"/>
      <c r="X140" s="1"/>
      <c r="Y140" s="1"/>
      <c r="Z140" s="1"/>
    </row>
    <row r="141" spans="1:26" ht="15.75" customHeight="1">
      <c r="A141" s="67">
        <v>136</v>
      </c>
      <c r="B141" s="14" t="s">
        <v>287</v>
      </c>
      <c r="C141" s="10" t="s">
        <v>288</v>
      </c>
      <c r="D141" s="10" t="s">
        <v>156</v>
      </c>
      <c r="E141" s="11"/>
      <c r="F141" s="72"/>
      <c r="G141" s="73"/>
      <c r="H141" s="12" t="s">
        <v>289</v>
      </c>
      <c r="I141" s="10">
        <v>35</v>
      </c>
      <c r="J141" s="10">
        <v>38</v>
      </c>
      <c r="K141" s="10">
        <v>40</v>
      </c>
      <c r="L141" s="10">
        <v>50</v>
      </c>
      <c r="M141" s="10">
        <v>88</v>
      </c>
      <c r="N141" s="10">
        <v>147</v>
      </c>
      <c r="O141" s="10">
        <v>177</v>
      </c>
      <c r="P141" s="10">
        <v>206</v>
      </c>
      <c r="Q141" s="10">
        <v>206</v>
      </c>
      <c r="R141" s="10">
        <v>20</v>
      </c>
      <c r="S141" s="10">
        <v>47</v>
      </c>
      <c r="T141" s="1"/>
      <c r="U141" s="1"/>
      <c r="V141" s="1"/>
      <c r="W141" s="1"/>
      <c r="X141" s="1"/>
      <c r="Y141" s="1"/>
      <c r="Z141" s="1"/>
    </row>
    <row r="142" spans="1:26" ht="15.75" customHeight="1">
      <c r="A142" s="67">
        <v>137</v>
      </c>
      <c r="B142" s="10" t="s">
        <v>22</v>
      </c>
      <c r="C142" s="10" t="s">
        <v>290</v>
      </c>
      <c r="D142" s="10" t="s">
        <v>156</v>
      </c>
      <c r="E142" s="11"/>
      <c r="F142" s="10"/>
      <c r="G142" s="10"/>
      <c r="H142" s="12" t="s">
        <v>291</v>
      </c>
      <c r="I142" s="10">
        <v>35</v>
      </c>
      <c r="J142" s="10">
        <v>38</v>
      </c>
      <c r="K142" s="10">
        <v>40</v>
      </c>
      <c r="L142" s="10">
        <v>50</v>
      </c>
      <c r="M142" s="10">
        <v>88</v>
      </c>
      <c r="N142" s="10">
        <v>147</v>
      </c>
      <c r="O142" s="10">
        <v>177</v>
      </c>
      <c r="P142" s="10">
        <v>206</v>
      </c>
      <c r="Q142" s="10">
        <v>206</v>
      </c>
      <c r="R142" s="10">
        <v>20</v>
      </c>
      <c r="S142" s="10">
        <v>47</v>
      </c>
      <c r="T142" s="1"/>
      <c r="U142" s="1"/>
      <c r="V142" s="1"/>
      <c r="W142" s="1"/>
      <c r="X142" s="1"/>
      <c r="Y142" s="1"/>
      <c r="Z142" s="1"/>
    </row>
    <row r="143" spans="1:26" ht="15.75" customHeight="1">
      <c r="A143" s="67">
        <v>138</v>
      </c>
      <c r="B143" s="10" t="s">
        <v>22</v>
      </c>
      <c r="C143" s="10" t="s">
        <v>292</v>
      </c>
      <c r="D143" s="10" t="s">
        <v>156</v>
      </c>
      <c r="E143" s="11"/>
      <c r="F143" s="10"/>
      <c r="G143" s="10"/>
      <c r="H143" s="12" t="s">
        <v>293</v>
      </c>
      <c r="I143" s="10">
        <v>35</v>
      </c>
      <c r="J143" s="10">
        <v>38</v>
      </c>
      <c r="K143" s="10">
        <v>40</v>
      </c>
      <c r="L143" s="10">
        <v>50</v>
      </c>
      <c r="M143" s="10">
        <v>88</v>
      </c>
      <c r="N143" s="10">
        <v>147</v>
      </c>
      <c r="O143" s="10">
        <v>177</v>
      </c>
      <c r="P143" s="10">
        <v>206</v>
      </c>
      <c r="Q143" s="10">
        <v>206</v>
      </c>
      <c r="R143" s="10">
        <v>20</v>
      </c>
      <c r="S143" s="10">
        <v>47</v>
      </c>
      <c r="T143" s="1"/>
      <c r="U143" s="1"/>
      <c r="V143" s="1"/>
      <c r="W143" s="1"/>
      <c r="X143" s="1"/>
      <c r="Y143" s="1"/>
      <c r="Z143" s="1"/>
    </row>
    <row r="144" spans="1:26" ht="15.75" customHeight="1">
      <c r="A144" s="67">
        <v>139</v>
      </c>
      <c r="B144" s="10" t="s">
        <v>22</v>
      </c>
      <c r="C144" s="10" t="s">
        <v>294</v>
      </c>
      <c r="D144" s="10" t="s">
        <v>156</v>
      </c>
      <c r="E144" s="11"/>
      <c r="F144" s="10"/>
      <c r="G144" s="10"/>
      <c r="H144" s="12" t="s">
        <v>295</v>
      </c>
      <c r="I144" s="11">
        <v>95</v>
      </c>
      <c r="J144" s="10">
        <v>95</v>
      </c>
      <c r="K144" s="10">
        <v>142</v>
      </c>
      <c r="L144" s="10">
        <v>142</v>
      </c>
      <c r="M144" s="10">
        <v>184</v>
      </c>
      <c r="N144" s="10">
        <v>184</v>
      </c>
      <c r="O144" s="10">
        <v>1</v>
      </c>
      <c r="P144" s="10">
        <v>1</v>
      </c>
      <c r="Q144" s="10">
        <v>1</v>
      </c>
      <c r="R144" s="10">
        <v>50</v>
      </c>
      <c r="S144" s="10">
        <v>80</v>
      </c>
      <c r="T144" s="1"/>
      <c r="U144" s="1"/>
      <c r="V144" s="1"/>
      <c r="W144" s="1"/>
      <c r="X144" s="1"/>
      <c r="Y144" s="1"/>
      <c r="Z144" s="1"/>
    </row>
    <row r="145" spans="1:26" ht="15.75" customHeight="1">
      <c r="A145" s="67">
        <v>140</v>
      </c>
      <c r="B145" s="10" t="s">
        <v>22</v>
      </c>
      <c r="C145" s="10" t="s">
        <v>296</v>
      </c>
      <c r="D145" s="10" t="s">
        <v>156</v>
      </c>
      <c r="E145" s="11"/>
      <c r="F145" s="10"/>
      <c r="G145" s="10"/>
      <c r="H145" s="12" t="s">
        <v>297</v>
      </c>
      <c r="I145" s="10">
        <v>60</v>
      </c>
      <c r="J145" s="10">
        <v>60</v>
      </c>
      <c r="K145" s="10">
        <v>71</v>
      </c>
      <c r="L145" s="10">
        <v>71</v>
      </c>
      <c r="M145" s="10">
        <v>147</v>
      </c>
      <c r="N145" s="10">
        <v>147</v>
      </c>
      <c r="O145" s="10">
        <v>1</v>
      </c>
      <c r="P145" s="10">
        <v>1</v>
      </c>
      <c r="Q145" s="10">
        <v>1</v>
      </c>
      <c r="R145" s="10">
        <v>50</v>
      </c>
      <c r="S145" s="10">
        <v>60</v>
      </c>
      <c r="T145" s="1"/>
      <c r="U145" s="1"/>
      <c r="V145" s="1"/>
      <c r="W145" s="1"/>
      <c r="X145" s="1"/>
      <c r="Y145" s="1"/>
      <c r="Z145" s="1"/>
    </row>
    <row r="146" spans="1:26" ht="15.75" customHeight="1">
      <c r="A146" s="67">
        <v>141</v>
      </c>
      <c r="B146" s="10" t="s">
        <v>32</v>
      </c>
      <c r="C146" s="10" t="s">
        <v>298</v>
      </c>
      <c r="D146" s="10" t="s">
        <v>299</v>
      </c>
      <c r="E146" s="11"/>
      <c r="F146" s="10"/>
      <c r="G146" s="10"/>
      <c r="H146" s="12" t="s">
        <v>300</v>
      </c>
      <c r="I146" s="10">
        <v>71</v>
      </c>
      <c r="J146" s="10">
        <v>71</v>
      </c>
      <c r="K146" s="10">
        <v>94</v>
      </c>
      <c r="L146" s="10">
        <v>94</v>
      </c>
      <c r="M146" s="10">
        <v>165</v>
      </c>
      <c r="N146" s="10">
        <v>295</v>
      </c>
      <c r="O146" s="10">
        <v>354</v>
      </c>
      <c r="P146" s="10">
        <v>412</v>
      </c>
      <c r="Q146" s="18">
        <v>1</v>
      </c>
      <c r="R146" s="18">
        <v>20</v>
      </c>
      <c r="S146" s="10">
        <v>47</v>
      </c>
      <c r="T146" s="1"/>
      <c r="U146" s="1"/>
      <c r="V146" s="1"/>
      <c r="W146" s="1"/>
      <c r="X146" s="1"/>
      <c r="Y146" s="1"/>
      <c r="Z146" s="1"/>
    </row>
    <row r="147" spans="1:26" ht="15.75" customHeight="1">
      <c r="A147" s="67">
        <v>142</v>
      </c>
      <c r="B147" s="10" t="s">
        <v>32</v>
      </c>
      <c r="C147" s="10" t="s">
        <v>298</v>
      </c>
      <c r="D147" s="10" t="s">
        <v>36</v>
      </c>
      <c r="E147" s="11"/>
      <c r="F147" s="10"/>
      <c r="G147" s="10"/>
      <c r="H147" s="12" t="s">
        <v>301</v>
      </c>
      <c r="I147" s="10">
        <v>91</v>
      </c>
      <c r="J147" s="13">
        <v>91</v>
      </c>
      <c r="K147" s="13">
        <v>114</v>
      </c>
      <c r="L147" s="13">
        <v>114</v>
      </c>
      <c r="M147" s="13">
        <v>255</v>
      </c>
      <c r="N147" s="10">
        <v>383</v>
      </c>
      <c r="O147" s="10">
        <v>504</v>
      </c>
      <c r="P147" s="13">
        <v>618</v>
      </c>
      <c r="Q147" s="18">
        <v>1</v>
      </c>
      <c r="R147" s="18">
        <v>40</v>
      </c>
      <c r="S147" s="10">
        <v>65</v>
      </c>
      <c r="T147" s="1"/>
      <c r="U147" s="1"/>
      <c r="V147" s="1"/>
      <c r="W147" s="1"/>
      <c r="X147" s="1"/>
      <c r="Y147" s="1"/>
      <c r="Z147" s="1"/>
    </row>
    <row r="148" spans="1:26" ht="15.75" customHeight="1">
      <c r="A148" s="67">
        <v>143</v>
      </c>
      <c r="B148" s="14" t="s">
        <v>302</v>
      </c>
      <c r="C148" s="14" t="s">
        <v>303</v>
      </c>
      <c r="D148" s="10" t="s">
        <v>36</v>
      </c>
      <c r="E148" s="11"/>
      <c r="F148" s="10"/>
      <c r="G148" s="10"/>
      <c r="H148" s="12" t="s">
        <v>304</v>
      </c>
      <c r="I148" s="10">
        <v>91</v>
      </c>
      <c r="J148" s="13">
        <v>91</v>
      </c>
      <c r="K148" s="13">
        <v>114</v>
      </c>
      <c r="L148" s="13">
        <v>114</v>
      </c>
      <c r="M148" s="13">
        <v>255</v>
      </c>
      <c r="N148" s="10">
        <v>383</v>
      </c>
      <c r="O148" s="10">
        <v>504</v>
      </c>
      <c r="P148" s="13">
        <v>618</v>
      </c>
      <c r="Q148" s="18">
        <v>1</v>
      </c>
      <c r="R148" s="18">
        <v>40</v>
      </c>
      <c r="S148" s="18">
        <v>65</v>
      </c>
      <c r="T148" s="1"/>
      <c r="U148" s="1"/>
      <c r="V148" s="1"/>
      <c r="W148" s="1"/>
      <c r="X148" s="1"/>
      <c r="Y148" s="1"/>
      <c r="Z148" s="1"/>
    </row>
    <row r="149" spans="1:26" ht="15.75" customHeight="1">
      <c r="A149" s="67">
        <v>144</v>
      </c>
      <c r="B149" s="14" t="s">
        <v>303</v>
      </c>
      <c r="C149" s="14" t="s">
        <v>305</v>
      </c>
      <c r="D149" s="10" t="s">
        <v>156</v>
      </c>
      <c r="E149" s="11"/>
      <c r="F149" s="10"/>
      <c r="G149" s="10"/>
      <c r="H149" s="12" t="s">
        <v>306</v>
      </c>
      <c r="I149" s="18">
        <v>88</v>
      </c>
      <c r="J149" s="18">
        <v>88</v>
      </c>
      <c r="K149" s="18">
        <v>118</v>
      </c>
      <c r="L149" s="18">
        <v>118</v>
      </c>
      <c r="M149" s="10">
        <v>165</v>
      </c>
      <c r="N149" s="10">
        <v>295</v>
      </c>
      <c r="O149" s="10">
        <v>354</v>
      </c>
      <c r="P149" s="10">
        <v>412</v>
      </c>
      <c r="Q149" s="18">
        <v>1</v>
      </c>
      <c r="R149" s="18">
        <v>20</v>
      </c>
      <c r="S149" s="18">
        <v>47</v>
      </c>
      <c r="T149" s="1"/>
      <c r="U149" s="1"/>
      <c r="V149" s="1"/>
      <c r="W149" s="1"/>
      <c r="X149" s="1"/>
      <c r="Y149" s="1"/>
      <c r="Z149" s="1"/>
    </row>
    <row r="150" spans="1:26" ht="15.75" customHeight="1">
      <c r="A150" s="67">
        <v>145</v>
      </c>
      <c r="B150" s="14" t="s">
        <v>302</v>
      </c>
      <c r="C150" s="14" t="s">
        <v>50</v>
      </c>
      <c r="D150" s="10" t="s">
        <v>36</v>
      </c>
      <c r="E150" s="11"/>
      <c r="F150" s="10"/>
      <c r="G150" s="10"/>
      <c r="H150" s="12" t="s">
        <v>307</v>
      </c>
      <c r="I150" s="10">
        <v>91</v>
      </c>
      <c r="J150" s="13">
        <v>91</v>
      </c>
      <c r="K150" s="13">
        <v>114</v>
      </c>
      <c r="L150" s="13">
        <v>114</v>
      </c>
      <c r="M150" s="13">
        <v>255</v>
      </c>
      <c r="N150" s="10">
        <v>383</v>
      </c>
      <c r="O150" s="10">
        <v>504</v>
      </c>
      <c r="P150" s="13">
        <v>618</v>
      </c>
      <c r="Q150" s="18">
        <v>1</v>
      </c>
      <c r="R150" s="18">
        <v>40</v>
      </c>
      <c r="S150" s="18">
        <v>65</v>
      </c>
      <c r="T150" s="1"/>
      <c r="U150" s="1"/>
      <c r="V150" s="1"/>
      <c r="W150" s="1"/>
      <c r="X150" s="1"/>
      <c r="Y150" s="1"/>
      <c r="Z150" s="1"/>
    </row>
    <row r="151" spans="1:26" ht="15.75" customHeight="1">
      <c r="A151" s="67">
        <v>146</v>
      </c>
      <c r="B151" s="14" t="s">
        <v>50</v>
      </c>
      <c r="C151" s="14" t="s">
        <v>305</v>
      </c>
      <c r="D151" s="10" t="s">
        <v>156</v>
      </c>
      <c r="E151" s="11"/>
      <c r="F151" s="10"/>
      <c r="G151" s="10"/>
      <c r="H151" s="12" t="s">
        <v>308</v>
      </c>
      <c r="I151" s="18">
        <v>88</v>
      </c>
      <c r="J151" s="18">
        <v>88</v>
      </c>
      <c r="K151" s="18">
        <v>118</v>
      </c>
      <c r="L151" s="18">
        <v>118</v>
      </c>
      <c r="M151" s="10">
        <v>165</v>
      </c>
      <c r="N151" s="10">
        <v>295</v>
      </c>
      <c r="O151" s="10">
        <v>354</v>
      </c>
      <c r="P151" s="10">
        <v>412</v>
      </c>
      <c r="Q151" s="18">
        <v>1</v>
      </c>
      <c r="R151" s="18">
        <v>20</v>
      </c>
      <c r="S151" s="18">
        <v>47</v>
      </c>
      <c r="T151" s="1"/>
      <c r="U151" s="1"/>
      <c r="V151" s="1"/>
      <c r="W151" s="1"/>
      <c r="X151" s="1"/>
      <c r="Y151" s="1"/>
      <c r="Z151" s="1"/>
    </row>
    <row r="152" spans="1:26" ht="15.75" customHeight="1">
      <c r="A152" s="67">
        <v>147</v>
      </c>
      <c r="B152" s="10" t="s">
        <v>22</v>
      </c>
      <c r="C152" s="10" t="s">
        <v>309</v>
      </c>
      <c r="D152" s="10" t="s">
        <v>156</v>
      </c>
      <c r="E152" s="11"/>
      <c r="F152" s="7"/>
      <c r="G152" s="7"/>
      <c r="H152" s="12" t="s">
        <v>310</v>
      </c>
      <c r="I152" s="18">
        <v>65</v>
      </c>
      <c r="J152" s="18">
        <v>65</v>
      </c>
      <c r="K152" s="18">
        <v>85</v>
      </c>
      <c r="L152" s="18">
        <v>85</v>
      </c>
      <c r="M152" s="18">
        <v>106</v>
      </c>
      <c r="N152" s="18">
        <v>1</v>
      </c>
      <c r="O152" s="18">
        <v>1</v>
      </c>
      <c r="P152" s="18">
        <v>1</v>
      </c>
      <c r="Q152" s="18">
        <v>1</v>
      </c>
      <c r="R152" s="18">
        <v>20</v>
      </c>
      <c r="S152" s="18">
        <v>47</v>
      </c>
      <c r="T152" s="1"/>
      <c r="U152" s="1"/>
      <c r="V152" s="1"/>
      <c r="W152" s="1"/>
      <c r="X152" s="1"/>
      <c r="Y152" s="1"/>
      <c r="Z152" s="1"/>
    </row>
    <row r="153" spans="1:26" ht="15.75" customHeight="1">
      <c r="A153" s="67">
        <v>148</v>
      </c>
      <c r="B153" s="19" t="s">
        <v>311</v>
      </c>
      <c r="C153" s="19" t="s">
        <v>312</v>
      </c>
      <c r="D153" s="14" t="s">
        <v>313</v>
      </c>
      <c r="E153" s="1"/>
      <c r="F153" s="1"/>
      <c r="G153" s="1"/>
      <c r="H153" s="20" t="s">
        <v>314</v>
      </c>
      <c r="I153" s="13">
        <v>41</v>
      </c>
      <c r="J153" s="13">
        <v>47</v>
      </c>
      <c r="K153" s="13">
        <v>53</v>
      </c>
      <c r="L153" s="13">
        <v>65</v>
      </c>
      <c r="M153" s="13">
        <v>165</v>
      </c>
      <c r="N153" s="10">
        <v>236</v>
      </c>
      <c r="O153" s="10">
        <v>295</v>
      </c>
      <c r="P153" s="10">
        <v>354</v>
      </c>
      <c r="Q153" s="13">
        <v>354</v>
      </c>
      <c r="R153" s="13">
        <v>20</v>
      </c>
      <c r="S153" s="13">
        <v>47</v>
      </c>
      <c r="T153" s="1"/>
      <c r="U153" s="1"/>
      <c r="V153" s="1"/>
      <c r="W153" s="1"/>
      <c r="X153" s="1"/>
      <c r="Y153" s="1"/>
      <c r="Z153" s="1"/>
    </row>
    <row r="154" spans="1:26" ht="15.75" customHeight="1">
      <c r="A154" s="67">
        <v>149</v>
      </c>
      <c r="B154" s="19" t="s">
        <v>315</v>
      </c>
      <c r="C154" s="19" t="s">
        <v>316</v>
      </c>
      <c r="D154" s="14" t="s">
        <v>23</v>
      </c>
      <c r="E154" s="1"/>
      <c r="F154" s="1"/>
      <c r="G154" s="1"/>
      <c r="H154" s="20" t="s">
        <v>317</v>
      </c>
      <c r="I154" s="13">
        <v>41</v>
      </c>
      <c r="J154" s="13">
        <v>47</v>
      </c>
      <c r="K154" s="13">
        <v>53</v>
      </c>
      <c r="L154" s="13">
        <v>65</v>
      </c>
      <c r="M154" s="13">
        <v>165</v>
      </c>
      <c r="N154" s="10">
        <v>236</v>
      </c>
      <c r="O154" s="10">
        <v>295</v>
      </c>
      <c r="P154" s="10">
        <v>354</v>
      </c>
      <c r="Q154" s="13">
        <v>354</v>
      </c>
      <c r="R154" s="13">
        <v>20</v>
      </c>
      <c r="S154" s="13">
        <v>47</v>
      </c>
      <c r="T154" s="1"/>
      <c r="U154" s="1"/>
      <c r="V154" s="1"/>
      <c r="W154" s="1"/>
      <c r="X154" s="1"/>
      <c r="Y154" s="1"/>
      <c r="Z154" s="1"/>
    </row>
    <row r="155" spans="1:26" ht="15.75" customHeight="1">
      <c r="A155" s="67">
        <v>150</v>
      </c>
      <c r="B155" s="19" t="s">
        <v>32</v>
      </c>
      <c r="C155" s="19" t="s">
        <v>318</v>
      </c>
      <c r="D155" s="14" t="s">
        <v>36</v>
      </c>
      <c r="E155" s="1"/>
      <c r="F155" s="1"/>
      <c r="G155" s="1"/>
      <c r="H155" s="21" t="s">
        <v>319</v>
      </c>
      <c r="I155" s="10">
        <v>113</v>
      </c>
      <c r="J155" s="13">
        <v>119</v>
      </c>
      <c r="K155" s="13">
        <v>137</v>
      </c>
      <c r="L155" s="13">
        <v>148</v>
      </c>
      <c r="M155" s="13">
        <v>325</v>
      </c>
      <c r="N155" s="10">
        <v>442</v>
      </c>
      <c r="O155" s="10">
        <v>709</v>
      </c>
      <c r="P155" s="13">
        <v>677</v>
      </c>
      <c r="Q155" s="13">
        <v>677</v>
      </c>
      <c r="R155" s="10">
        <v>40</v>
      </c>
      <c r="S155" s="10">
        <v>65</v>
      </c>
      <c r="T155" s="1"/>
      <c r="U155" s="1"/>
      <c r="V155" s="1"/>
      <c r="W155" s="1"/>
      <c r="X155" s="1"/>
      <c r="Y155" s="1"/>
      <c r="Z155" s="1"/>
    </row>
    <row r="156" spans="1:26" ht="15.75" customHeight="1">
      <c r="A156" s="67">
        <v>151</v>
      </c>
      <c r="B156" s="10" t="s">
        <v>28</v>
      </c>
      <c r="C156" s="10" t="s">
        <v>76</v>
      </c>
      <c r="D156" s="10" t="s">
        <v>299</v>
      </c>
      <c r="E156" s="10"/>
      <c r="F156" s="10"/>
      <c r="G156" s="10"/>
      <c r="H156" s="12" t="s">
        <v>320</v>
      </c>
      <c r="I156" s="1"/>
      <c r="J156" s="1"/>
      <c r="K156" s="1"/>
      <c r="L156" s="1"/>
      <c r="M156" s="1"/>
      <c r="N156" s="1"/>
      <c r="O156" s="1"/>
      <c r="P156" s="1"/>
      <c r="Q156" s="1"/>
      <c r="R156" s="1"/>
      <c r="S156" s="1"/>
      <c r="T156" s="1"/>
      <c r="U156" s="1"/>
      <c r="V156" s="1"/>
      <c r="W156" s="1"/>
      <c r="X156" s="1"/>
      <c r="Y156" s="1"/>
      <c r="Z156" s="1"/>
    </row>
    <row r="157" spans="1:26" ht="15.75" customHeight="1">
      <c r="A157" s="67">
        <v>152</v>
      </c>
      <c r="B157" s="10" t="s">
        <v>22</v>
      </c>
      <c r="C157" s="14" t="s">
        <v>321</v>
      </c>
      <c r="D157" s="10" t="s">
        <v>299</v>
      </c>
      <c r="E157" s="11"/>
      <c r="F157" s="7"/>
      <c r="G157" s="7"/>
      <c r="H157" s="12" t="s">
        <v>322</v>
      </c>
      <c r="I157" s="18">
        <v>35</v>
      </c>
      <c r="J157" s="18">
        <v>35</v>
      </c>
      <c r="K157" s="18">
        <v>47</v>
      </c>
      <c r="L157" s="18">
        <v>47</v>
      </c>
      <c r="M157" s="18">
        <v>71</v>
      </c>
      <c r="N157" s="18">
        <v>1</v>
      </c>
      <c r="O157" s="18">
        <v>1</v>
      </c>
      <c r="P157" s="18">
        <v>1</v>
      </c>
      <c r="Q157" s="18">
        <v>1</v>
      </c>
      <c r="R157" s="18">
        <v>20</v>
      </c>
      <c r="S157" s="18">
        <v>47</v>
      </c>
      <c r="T157" s="1"/>
      <c r="U157" s="1"/>
      <c r="V157" s="1"/>
      <c r="W157" s="1"/>
      <c r="X157" s="1"/>
      <c r="Y157" s="1"/>
      <c r="Z157" s="1"/>
    </row>
    <row r="158" spans="1:26" ht="15.75" customHeight="1">
      <c r="A158" s="67">
        <v>153</v>
      </c>
      <c r="B158" s="10" t="s">
        <v>22</v>
      </c>
      <c r="C158" s="14" t="s">
        <v>323</v>
      </c>
      <c r="D158" s="10" t="s">
        <v>299</v>
      </c>
      <c r="E158" s="11"/>
      <c r="F158" s="7"/>
      <c r="G158" s="7"/>
      <c r="H158" s="12" t="s">
        <v>324</v>
      </c>
      <c r="I158" s="18">
        <v>35</v>
      </c>
      <c r="J158" s="18">
        <v>35</v>
      </c>
      <c r="K158" s="18">
        <v>47</v>
      </c>
      <c r="L158" s="18">
        <v>47</v>
      </c>
      <c r="M158" s="18">
        <v>71</v>
      </c>
      <c r="N158" s="18">
        <v>1</v>
      </c>
      <c r="O158" s="18">
        <v>1</v>
      </c>
      <c r="P158" s="18">
        <v>1</v>
      </c>
      <c r="Q158" s="18">
        <v>1</v>
      </c>
      <c r="R158" s="18">
        <v>20</v>
      </c>
      <c r="S158" s="18">
        <v>47</v>
      </c>
      <c r="T158" s="1"/>
      <c r="U158" s="1"/>
      <c r="V158" s="1"/>
      <c r="W158" s="1"/>
      <c r="X158" s="1"/>
      <c r="Y158" s="1"/>
      <c r="Z158" s="1"/>
    </row>
    <row r="159" spans="1:26" ht="15.75" customHeight="1">
      <c r="A159" s="1"/>
      <c r="B159" s="1"/>
      <c r="C159" s="1"/>
      <c r="D159" s="1"/>
      <c r="E159" s="1"/>
      <c r="F159" s="1"/>
      <c r="G159" s="1"/>
      <c r="H159" s="17"/>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7"/>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7"/>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7"/>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7"/>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7"/>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7"/>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7"/>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7"/>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7"/>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7"/>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7"/>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7"/>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7"/>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7"/>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7"/>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7"/>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7"/>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7"/>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7"/>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7"/>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7"/>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7"/>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7"/>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7"/>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7"/>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7"/>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7"/>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7"/>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7"/>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7"/>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7"/>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7"/>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7"/>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7"/>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7"/>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7"/>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7"/>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7"/>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7"/>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7"/>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7"/>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7"/>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7"/>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7"/>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7"/>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7"/>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7"/>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7"/>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7"/>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7"/>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7"/>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7"/>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7"/>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7"/>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7"/>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7"/>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7"/>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7"/>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7"/>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7"/>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7"/>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7"/>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7"/>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7"/>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7"/>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7"/>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7"/>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7"/>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7"/>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7"/>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7"/>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7"/>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7"/>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7"/>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7"/>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7"/>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7"/>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7"/>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7"/>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7"/>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7"/>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7"/>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7"/>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7"/>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7"/>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7"/>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7"/>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7"/>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7"/>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7"/>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7"/>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7"/>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7"/>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7"/>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7"/>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7"/>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7"/>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7"/>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7"/>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7"/>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7"/>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7"/>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7"/>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7"/>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7"/>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7"/>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7"/>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7"/>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7"/>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7"/>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7"/>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7"/>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7"/>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7"/>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7"/>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7"/>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7"/>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7"/>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7"/>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7"/>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7"/>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7"/>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7"/>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7"/>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7"/>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7"/>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7"/>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7"/>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7"/>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7"/>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7"/>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7"/>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7"/>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7"/>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7"/>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7"/>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7"/>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7"/>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7"/>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7"/>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7"/>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7"/>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7"/>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7"/>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7"/>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7"/>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7"/>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7"/>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7"/>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7"/>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7"/>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7"/>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7"/>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7"/>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7"/>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7"/>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7"/>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7"/>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7"/>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7"/>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7"/>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7"/>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7"/>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7"/>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7"/>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7"/>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7"/>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7"/>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7"/>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7"/>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7"/>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7"/>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7"/>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7"/>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7"/>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7"/>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7"/>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7"/>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7"/>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7"/>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7"/>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7"/>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7"/>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7"/>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7"/>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7"/>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7"/>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7"/>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7"/>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7"/>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7"/>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7"/>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7"/>
      <c r="I352" s="1"/>
      <c r="J352" s="1"/>
      <c r="K352" s="1"/>
      <c r="L352" s="1"/>
      <c r="M352" s="1"/>
      <c r="N352" s="1"/>
      <c r="O352" s="1"/>
      <c r="P352" s="1"/>
      <c r="Q352" s="1"/>
      <c r="R352" s="1"/>
      <c r="S352" s="1"/>
      <c r="T352" s="1"/>
      <c r="U352" s="1"/>
      <c r="V352" s="1"/>
      <c r="W352" s="1"/>
      <c r="X352" s="1"/>
      <c r="Y352" s="1"/>
      <c r="Z352" s="1"/>
    </row>
    <row r="353" spans="1:26"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sheetData>
  <mergeCells count="12">
    <mergeCell ref="F141:G141"/>
    <mergeCell ref="H1:H4"/>
    <mergeCell ref="I1:S1"/>
    <mergeCell ref="I2:S2"/>
    <mergeCell ref="I3:O3"/>
    <mergeCell ref="F1:F4"/>
    <mergeCell ref="G1:G4"/>
    <mergeCell ref="A1:A4"/>
    <mergeCell ref="B1:B4"/>
    <mergeCell ref="C1:C4"/>
    <mergeCell ref="D1:D4"/>
    <mergeCell ref="E1:E4"/>
  </mergeCells>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8"/>
  <sheetViews>
    <sheetView topLeftCell="A136" workbookViewId="0">
      <selection activeCell="A6" sqref="A6:A158"/>
    </sheetView>
  </sheetViews>
  <sheetFormatPr defaultColWidth="12.6328125" defaultRowHeight="15" customHeight="1"/>
  <cols>
    <col min="1" max="2" width="12.6328125" customWidth="1"/>
    <col min="3" max="3" width="48" customWidth="1"/>
    <col min="4" max="4" width="14" customWidth="1"/>
    <col min="5" max="5" width="3.90625" customWidth="1"/>
    <col min="6" max="6" width="10" customWidth="1"/>
    <col min="7" max="7" width="12.36328125" customWidth="1"/>
    <col min="8" max="8" width="48.7265625" customWidth="1"/>
    <col min="9" max="9" width="29.08984375" customWidth="1"/>
    <col min="10" max="10" width="32.7265625" customWidth="1"/>
    <col min="11" max="11" width="24.90625" customWidth="1"/>
    <col min="12" max="12" width="36.26953125" customWidth="1"/>
    <col min="13" max="13" width="26.453125" customWidth="1"/>
    <col min="14" max="14" width="15.36328125" customWidth="1"/>
    <col min="15" max="15" width="22.7265625" customWidth="1"/>
    <col min="16" max="16" width="25.26953125" customWidth="1"/>
    <col min="17" max="17" width="17.26953125" customWidth="1"/>
    <col min="18" max="18" width="9.453125" customWidth="1"/>
    <col min="19" max="19" width="9.6328125" customWidth="1"/>
    <col min="20" max="26" width="12.6328125" customWidth="1"/>
  </cols>
  <sheetData>
    <row r="1" spans="1:26" ht="15.75" customHeight="1">
      <c r="A1" s="68" t="s">
        <v>0</v>
      </c>
      <c r="B1" s="68" t="s">
        <v>1</v>
      </c>
      <c r="C1" s="68" t="s">
        <v>2</v>
      </c>
      <c r="D1" s="71" t="s">
        <v>3</v>
      </c>
      <c r="E1" s="68" t="s">
        <v>4</v>
      </c>
      <c r="F1" s="68" t="s">
        <v>5</v>
      </c>
      <c r="G1" s="68" t="s">
        <v>6</v>
      </c>
      <c r="H1" s="71" t="s">
        <v>7</v>
      </c>
      <c r="I1" s="74" t="s">
        <v>8</v>
      </c>
      <c r="J1" s="75"/>
      <c r="K1" s="75"/>
      <c r="L1" s="75"/>
      <c r="M1" s="75"/>
      <c r="N1" s="75"/>
      <c r="O1" s="75"/>
      <c r="P1" s="75"/>
      <c r="Q1" s="75"/>
      <c r="R1" s="75"/>
      <c r="S1" s="76"/>
      <c r="T1" s="1"/>
      <c r="U1" s="1"/>
      <c r="V1" s="1"/>
      <c r="W1" s="1"/>
      <c r="X1" s="1"/>
      <c r="Y1" s="1"/>
      <c r="Z1" s="1"/>
    </row>
    <row r="2" spans="1:26" ht="15.75" customHeight="1">
      <c r="A2" s="69"/>
      <c r="B2" s="69"/>
      <c r="C2" s="69"/>
      <c r="D2" s="69"/>
      <c r="E2" s="69"/>
      <c r="F2" s="69"/>
      <c r="G2" s="69"/>
      <c r="H2" s="69"/>
      <c r="I2" s="74" t="s">
        <v>325</v>
      </c>
      <c r="J2" s="75"/>
      <c r="K2" s="75"/>
      <c r="L2" s="75"/>
      <c r="M2" s="75"/>
      <c r="N2" s="75"/>
      <c r="O2" s="75"/>
      <c r="P2" s="75"/>
      <c r="Q2" s="75"/>
      <c r="R2" s="75"/>
      <c r="S2" s="76"/>
      <c r="T2" s="1"/>
      <c r="U2" s="1"/>
      <c r="V2" s="1"/>
      <c r="W2" s="1"/>
      <c r="X2" s="1"/>
      <c r="Y2" s="1"/>
      <c r="Z2" s="1"/>
    </row>
    <row r="3" spans="1:26" ht="15.75" customHeight="1">
      <c r="A3" s="69"/>
      <c r="B3" s="69"/>
      <c r="C3" s="69"/>
      <c r="D3" s="69"/>
      <c r="E3" s="69"/>
      <c r="F3" s="69"/>
      <c r="G3" s="69"/>
      <c r="H3" s="69"/>
      <c r="I3" s="77"/>
      <c r="J3" s="75"/>
      <c r="K3" s="75"/>
      <c r="L3" s="75"/>
      <c r="M3" s="75"/>
      <c r="N3" s="75"/>
      <c r="O3" s="76"/>
      <c r="P3" s="2"/>
      <c r="Q3" s="2"/>
      <c r="R3" s="2"/>
      <c r="S3" s="2"/>
      <c r="T3" s="1"/>
      <c r="U3" s="1"/>
      <c r="V3" s="1"/>
      <c r="W3" s="1"/>
      <c r="X3" s="1"/>
      <c r="Y3" s="1"/>
      <c r="Z3" s="1"/>
    </row>
    <row r="4" spans="1:26" ht="15.75" customHeight="1">
      <c r="A4" s="70"/>
      <c r="B4" s="70"/>
      <c r="C4" s="70"/>
      <c r="D4" s="70"/>
      <c r="E4" s="70"/>
      <c r="F4" s="70"/>
      <c r="G4" s="70"/>
      <c r="H4" s="70"/>
      <c r="I4" s="3" t="s">
        <v>10</v>
      </c>
      <c r="J4" s="3" t="s">
        <v>11</v>
      </c>
      <c r="K4" s="3" t="s">
        <v>12</v>
      </c>
      <c r="L4" s="3" t="s">
        <v>13</v>
      </c>
      <c r="M4" s="3" t="s">
        <v>14</v>
      </c>
      <c r="N4" s="3" t="s">
        <v>15</v>
      </c>
      <c r="O4" s="3" t="s">
        <v>16</v>
      </c>
      <c r="P4" s="3" t="s">
        <v>17</v>
      </c>
      <c r="Q4" s="3" t="s">
        <v>18</v>
      </c>
      <c r="R4" s="3" t="s">
        <v>19</v>
      </c>
      <c r="S4" s="3" t="s">
        <v>20</v>
      </c>
      <c r="T4" s="1"/>
      <c r="U4" s="1"/>
      <c r="V4" s="1"/>
      <c r="W4" s="1"/>
      <c r="X4" s="1"/>
      <c r="Y4" s="1"/>
      <c r="Z4" s="1"/>
    </row>
    <row r="5" spans="1:26" ht="15.75" customHeight="1">
      <c r="A5" s="4"/>
      <c r="B5" s="5"/>
      <c r="C5" s="5"/>
      <c r="D5" s="6"/>
      <c r="E5" s="7"/>
      <c r="F5" s="7"/>
      <c r="G5" s="7"/>
      <c r="H5" s="8"/>
      <c r="I5" s="2"/>
      <c r="J5" s="2"/>
      <c r="K5" s="2"/>
      <c r="L5" s="2"/>
      <c r="M5" s="9"/>
      <c r="N5" s="9"/>
      <c r="O5" s="9"/>
      <c r="P5" s="9"/>
      <c r="Q5" s="9"/>
      <c r="R5" s="9"/>
      <c r="S5" s="9"/>
      <c r="T5" s="1"/>
      <c r="U5" s="1"/>
      <c r="V5" s="1"/>
      <c r="W5" s="1"/>
      <c r="X5" s="1"/>
      <c r="Y5" s="1"/>
      <c r="Z5" s="1"/>
    </row>
    <row r="6" spans="1:26" ht="15.75" customHeight="1">
      <c r="A6" s="10">
        <v>1</v>
      </c>
      <c r="B6" s="10" t="s">
        <v>21</v>
      </c>
      <c r="C6" s="10" t="s">
        <v>22</v>
      </c>
      <c r="D6" s="10" t="s">
        <v>23</v>
      </c>
      <c r="E6" s="11"/>
      <c r="F6" s="11"/>
      <c r="G6" s="10"/>
      <c r="H6" s="12" t="s">
        <v>24</v>
      </c>
      <c r="I6" s="13">
        <v>12</v>
      </c>
      <c r="J6" s="10">
        <v>18</v>
      </c>
      <c r="K6" s="10">
        <v>12</v>
      </c>
      <c r="L6" s="10">
        <v>24</v>
      </c>
      <c r="M6" s="10">
        <v>35</v>
      </c>
      <c r="N6" s="10">
        <v>47</v>
      </c>
      <c r="O6" s="10">
        <v>59</v>
      </c>
      <c r="P6" s="10">
        <v>74</v>
      </c>
      <c r="Q6" s="10">
        <v>74</v>
      </c>
      <c r="R6" s="10">
        <v>20</v>
      </c>
      <c r="S6" s="10">
        <v>24</v>
      </c>
      <c r="T6" s="1"/>
      <c r="U6" s="1"/>
      <c r="V6" s="1"/>
      <c r="W6" s="1"/>
      <c r="X6" s="1"/>
      <c r="Y6" s="1"/>
      <c r="Z6" s="1"/>
    </row>
    <row r="7" spans="1:26" ht="15.75" customHeight="1">
      <c r="A7" s="10">
        <v>2</v>
      </c>
      <c r="B7" s="10" t="s">
        <v>21</v>
      </c>
      <c r="C7" s="10" t="s">
        <v>25</v>
      </c>
      <c r="D7" s="10" t="s">
        <v>26</v>
      </c>
      <c r="E7" s="11"/>
      <c r="F7" s="11"/>
      <c r="G7" s="10"/>
      <c r="H7" s="12" t="s">
        <v>27</v>
      </c>
      <c r="I7" s="13">
        <v>18</v>
      </c>
      <c r="J7" s="10">
        <v>24</v>
      </c>
      <c r="K7" s="10">
        <v>18</v>
      </c>
      <c r="L7" s="10">
        <v>30</v>
      </c>
      <c r="M7" s="10">
        <v>70</v>
      </c>
      <c r="N7" s="10">
        <v>94</v>
      </c>
      <c r="O7" s="10">
        <v>108</v>
      </c>
      <c r="P7" s="10">
        <v>148</v>
      </c>
      <c r="Q7" s="10">
        <v>148</v>
      </c>
      <c r="R7" s="10">
        <v>20</v>
      </c>
      <c r="S7" s="10">
        <v>48</v>
      </c>
      <c r="T7" s="1"/>
      <c r="U7" s="1"/>
      <c r="V7" s="1"/>
      <c r="W7" s="1"/>
      <c r="X7" s="1"/>
      <c r="Y7" s="1"/>
      <c r="Z7" s="1"/>
    </row>
    <row r="8" spans="1:26" ht="15.75" customHeight="1">
      <c r="A8" s="67">
        <v>3</v>
      </c>
      <c r="B8" s="10" t="s">
        <v>28</v>
      </c>
      <c r="C8" s="10" t="s">
        <v>29</v>
      </c>
      <c r="D8" s="10" t="s">
        <v>30</v>
      </c>
      <c r="E8" s="10"/>
      <c r="F8" s="10"/>
      <c r="G8" s="10"/>
      <c r="H8" s="12" t="s">
        <v>31</v>
      </c>
      <c r="I8" s="13">
        <v>41</v>
      </c>
      <c r="J8" s="13">
        <v>47</v>
      </c>
      <c r="K8" s="13">
        <v>53</v>
      </c>
      <c r="L8" s="13">
        <v>65</v>
      </c>
      <c r="M8" s="13">
        <v>165</v>
      </c>
      <c r="N8" s="10">
        <v>236</v>
      </c>
      <c r="O8" s="10">
        <v>295</v>
      </c>
      <c r="P8" s="10">
        <v>354</v>
      </c>
      <c r="Q8" s="13">
        <v>354</v>
      </c>
      <c r="R8" s="13">
        <v>20</v>
      </c>
      <c r="S8" s="13">
        <v>47</v>
      </c>
      <c r="T8" s="1"/>
      <c r="U8" s="1"/>
      <c r="V8" s="1"/>
      <c r="W8" s="1"/>
      <c r="X8" s="1"/>
      <c r="Y8" s="1"/>
      <c r="Z8" s="1"/>
    </row>
    <row r="9" spans="1:26" ht="15.75" customHeight="1">
      <c r="A9" s="67">
        <v>4</v>
      </c>
      <c r="B9" s="10" t="s">
        <v>32</v>
      </c>
      <c r="C9" s="14" t="s">
        <v>33</v>
      </c>
      <c r="D9" s="10" t="s">
        <v>34</v>
      </c>
      <c r="E9" s="11"/>
      <c r="F9" s="10"/>
      <c r="G9" s="10"/>
      <c r="H9" s="12" t="s">
        <v>35</v>
      </c>
      <c r="I9" s="13">
        <v>47</v>
      </c>
      <c r="J9" s="13">
        <v>53</v>
      </c>
      <c r="K9" s="13">
        <v>59</v>
      </c>
      <c r="L9" s="13">
        <v>71</v>
      </c>
      <c r="M9" s="13">
        <v>195</v>
      </c>
      <c r="N9" s="10">
        <v>295</v>
      </c>
      <c r="O9" s="10">
        <v>383</v>
      </c>
      <c r="P9" s="10">
        <v>427</v>
      </c>
      <c r="Q9" s="10">
        <v>427</v>
      </c>
      <c r="R9" s="10">
        <v>20</v>
      </c>
      <c r="S9" s="10">
        <v>47</v>
      </c>
      <c r="T9" s="1"/>
      <c r="U9" s="1"/>
      <c r="V9" s="1"/>
      <c r="W9" s="1"/>
      <c r="X9" s="1"/>
      <c r="Y9" s="1"/>
      <c r="Z9" s="1"/>
    </row>
    <row r="10" spans="1:26" ht="15.75" customHeight="1">
      <c r="A10" s="67">
        <v>5</v>
      </c>
      <c r="B10" s="10" t="s">
        <v>32</v>
      </c>
      <c r="C10" s="10" t="s">
        <v>29</v>
      </c>
      <c r="D10" s="10" t="s">
        <v>36</v>
      </c>
      <c r="E10" s="10"/>
      <c r="F10" s="10"/>
      <c r="G10" s="10"/>
      <c r="H10" s="12" t="s">
        <v>37</v>
      </c>
      <c r="I10" s="10">
        <v>77</v>
      </c>
      <c r="J10" s="13">
        <v>83</v>
      </c>
      <c r="K10" s="13">
        <v>89</v>
      </c>
      <c r="L10" s="13">
        <v>101</v>
      </c>
      <c r="M10" s="13">
        <v>225</v>
      </c>
      <c r="N10" s="10">
        <v>324</v>
      </c>
      <c r="O10" s="10">
        <v>445</v>
      </c>
      <c r="P10" s="13">
        <v>560</v>
      </c>
      <c r="Q10" s="13">
        <v>560</v>
      </c>
      <c r="R10" s="13">
        <v>50</v>
      </c>
      <c r="S10" s="13">
        <v>65</v>
      </c>
      <c r="T10" s="1"/>
      <c r="U10" s="1"/>
      <c r="V10" s="1"/>
      <c r="W10" s="1"/>
      <c r="X10" s="1"/>
      <c r="Y10" s="1"/>
      <c r="Z10" s="1"/>
    </row>
    <row r="11" spans="1:26" ht="12.75" customHeight="1">
      <c r="A11" s="67">
        <v>6</v>
      </c>
      <c r="B11" s="10" t="s">
        <v>28</v>
      </c>
      <c r="C11" s="10" t="s">
        <v>38</v>
      </c>
      <c r="D11" s="10" t="s">
        <v>30</v>
      </c>
      <c r="E11" s="10"/>
      <c r="F11" s="10"/>
      <c r="G11" s="10"/>
      <c r="H11" s="15" t="s">
        <v>39</v>
      </c>
      <c r="I11" s="13">
        <v>71</v>
      </c>
      <c r="J11" s="13">
        <v>76</v>
      </c>
      <c r="K11" s="13">
        <v>80</v>
      </c>
      <c r="L11" s="13">
        <v>85</v>
      </c>
      <c r="M11" s="13">
        <v>195</v>
      </c>
      <c r="N11" s="10">
        <v>265</v>
      </c>
      <c r="O11" s="10">
        <v>324</v>
      </c>
      <c r="P11" s="13">
        <v>354</v>
      </c>
      <c r="Q11" s="13">
        <v>354</v>
      </c>
      <c r="R11" s="13">
        <v>20</v>
      </c>
      <c r="S11" s="13">
        <v>47</v>
      </c>
      <c r="T11" s="1"/>
      <c r="U11" s="1"/>
      <c r="V11" s="1"/>
      <c r="W11" s="1"/>
      <c r="X11" s="1"/>
      <c r="Y11" s="1"/>
      <c r="Z11" s="1"/>
    </row>
    <row r="12" spans="1:26" ht="12.75" customHeight="1">
      <c r="A12" s="67">
        <v>7</v>
      </c>
      <c r="B12" s="10" t="s">
        <v>28</v>
      </c>
      <c r="C12" s="10" t="s">
        <v>38</v>
      </c>
      <c r="D12" s="10" t="s">
        <v>36</v>
      </c>
      <c r="E12" s="10"/>
      <c r="F12" s="10"/>
      <c r="G12" s="10"/>
      <c r="H12" s="15" t="s">
        <v>40</v>
      </c>
      <c r="I12" s="10">
        <v>107</v>
      </c>
      <c r="J12" s="13">
        <v>112</v>
      </c>
      <c r="K12" s="13">
        <v>116</v>
      </c>
      <c r="L12" s="13">
        <v>121</v>
      </c>
      <c r="M12" s="13">
        <v>255</v>
      </c>
      <c r="N12" s="10">
        <v>353</v>
      </c>
      <c r="O12" s="10">
        <v>474</v>
      </c>
      <c r="P12" s="13">
        <v>560</v>
      </c>
      <c r="Q12" s="13">
        <v>560</v>
      </c>
      <c r="R12" s="13">
        <v>40</v>
      </c>
      <c r="S12" s="13">
        <v>65</v>
      </c>
      <c r="T12" s="1"/>
      <c r="U12" s="1"/>
      <c r="V12" s="1"/>
      <c r="W12" s="1"/>
      <c r="X12" s="1"/>
      <c r="Y12" s="1"/>
      <c r="Z12" s="1"/>
    </row>
    <row r="13" spans="1:26" ht="15.75" customHeight="1">
      <c r="A13" s="67">
        <v>8</v>
      </c>
      <c r="B13" s="10" t="s">
        <v>28</v>
      </c>
      <c r="C13" s="10" t="s">
        <v>41</v>
      </c>
      <c r="D13" s="10" t="s">
        <v>30</v>
      </c>
      <c r="E13" s="10"/>
      <c r="F13" s="10"/>
      <c r="G13" s="10"/>
      <c r="H13" s="12" t="s">
        <v>42</v>
      </c>
      <c r="I13" s="13">
        <v>71</v>
      </c>
      <c r="J13" s="13">
        <v>76</v>
      </c>
      <c r="K13" s="13">
        <v>80</v>
      </c>
      <c r="L13" s="13">
        <v>85</v>
      </c>
      <c r="M13" s="13">
        <v>195</v>
      </c>
      <c r="N13" s="10">
        <v>265</v>
      </c>
      <c r="O13" s="10">
        <v>324</v>
      </c>
      <c r="P13" s="13">
        <v>354</v>
      </c>
      <c r="Q13" s="10">
        <v>354</v>
      </c>
      <c r="R13" s="10">
        <v>20</v>
      </c>
      <c r="S13" s="10">
        <v>47</v>
      </c>
      <c r="T13" s="1"/>
      <c r="U13" s="1"/>
      <c r="V13" s="1"/>
      <c r="W13" s="1"/>
      <c r="X13" s="1"/>
      <c r="Y13" s="1"/>
      <c r="Z13" s="1"/>
    </row>
    <row r="14" spans="1:26" ht="15.75" customHeight="1">
      <c r="A14" s="67">
        <v>9</v>
      </c>
      <c r="B14" s="10" t="s">
        <v>28</v>
      </c>
      <c r="C14" s="10" t="s">
        <v>41</v>
      </c>
      <c r="D14" s="10" t="s">
        <v>36</v>
      </c>
      <c r="E14" s="10"/>
      <c r="F14" s="10"/>
      <c r="G14" s="10"/>
      <c r="H14" s="12" t="s">
        <v>43</v>
      </c>
      <c r="I14" s="10">
        <v>107</v>
      </c>
      <c r="J14" s="13">
        <v>112</v>
      </c>
      <c r="K14" s="13">
        <v>116</v>
      </c>
      <c r="L14" s="13">
        <v>121</v>
      </c>
      <c r="M14" s="13">
        <v>255</v>
      </c>
      <c r="N14" s="10">
        <v>353</v>
      </c>
      <c r="O14" s="10">
        <v>474</v>
      </c>
      <c r="P14" s="13">
        <v>560</v>
      </c>
      <c r="Q14" s="13">
        <v>560</v>
      </c>
      <c r="R14" s="13">
        <v>40</v>
      </c>
      <c r="S14" s="13">
        <v>65</v>
      </c>
      <c r="T14" s="1"/>
      <c r="U14" s="1"/>
      <c r="V14" s="1"/>
      <c r="W14" s="1"/>
      <c r="X14" s="1"/>
      <c r="Y14" s="1"/>
      <c r="Z14" s="1"/>
    </row>
    <row r="15" spans="1:26" ht="15.75" customHeight="1">
      <c r="A15" s="67">
        <v>10</v>
      </c>
      <c r="B15" s="10" t="s">
        <v>28</v>
      </c>
      <c r="C15" s="14" t="s">
        <v>44</v>
      </c>
      <c r="D15" s="10" t="s">
        <v>30</v>
      </c>
      <c r="E15" s="10"/>
      <c r="F15" s="10"/>
      <c r="G15" s="10"/>
      <c r="H15" s="12" t="s">
        <v>45</v>
      </c>
      <c r="I15" s="13">
        <f>77</f>
        <v>77</v>
      </c>
      <c r="J15" s="13">
        <v>77</v>
      </c>
      <c r="K15" s="13">
        <v>95</v>
      </c>
      <c r="L15" s="13">
        <v>95</v>
      </c>
      <c r="M15" s="13">
        <v>200</v>
      </c>
      <c r="N15" s="10">
        <v>312</v>
      </c>
      <c r="O15" s="10">
        <v>383</v>
      </c>
      <c r="P15" s="13">
        <v>427</v>
      </c>
      <c r="Q15" s="10">
        <v>427</v>
      </c>
      <c r="R15" s="10">
        <v>20</v>
      </c>
      <c r="S15" s="10">
        <v>47</v>
      </c>
      <c r="T15" s="1"/>
      <c r="U15" s="1"/>
      <c r="V15" s="1"/>
      <c r="W15" s="1"/>
      <c r="X15" s="1"/>
      <c r="Y15" s="1"/>
      <c r="Z15" s="1"/>
    </row>
    <row r="16" spans="1:26" ht="15.75" customHeight="1">
      <c r="A16" s="67">
        <v>11</v>
      </c>
      <c r="B16" s="10" t="s">
        <v>28</v>
      </c>
      <c r="C16" s="14" t="s">
        <v>46</v>
      </c>
      <c r="D16" s="10" t="s">
        <v>36</v>
      </c>
      <c r="E16" s="10"/>
      <c r="F16" s="10"/>
      <c r="G16" s="10"/>
      <c r="H16" s="12" t="s">
        <v>47</v>
      </c>
      <c r="I16" s="13">
        <v>112</v>
      </c>
      <c r="J16" s="13">
        <v>112</v>
      </c>
      <c r="K16" s="13">
        <v>130</v>
      </c>
      <c r="L16" s="13">
        <v>130</v>
      </c>
      <c r="M16" s="13">
        <v>230</v>
      </c>
      <c r="N16" s="10">
        <v>370</v>
      </c>
      <c r="O16" s="10">
        <v>383</v>
      </c>
      <c r="P16" s="13">
        <v>427</v>
      </c>
      <c r="Q16" s="10">
        <v>427</v>
      </c>
      <c r="R16" s="10">
        <v>40</v>
      </c>
      <c r="S16" s="10">
        <v>65</v>
      </c>
      <c r="T16" s="1"/>
      <c r="U16" s="1"/>
      <c r="V16" s="1"/>
      <c r="W16" s="1"/>
      <c r="X16" s="1"/>
      <c r="Y16" s="1"/>
      <c r="Z16" s="1"/>
    </row>
    <row r="17" spans="1:26" ht="15.75" customHeight="1">
      <c r="A17" s="67">
        <v>12</v>
      </c>
      <c r="B17" s="10" t="s">
        <v>28</v>
      </c>
      <c r="C17" s="14" t="s">
        <v>48</v>
      </c>
      <c r="D17" s="10" t="s">
        <v>30</v>
      </c>
      <c r="E17" s="10"/>
      <c r="F17" s="10"/>
      <c r="G17" s="10"/>
      <c r="H17" s="12" t="s">
        <v>49</v>
      </c>
      <c r="I17" s="13">
        <v>71</v>
      </c>
      <c r="J17" s="10">
        <v>78</v>
      </c>
      <c r="K17" s="10">
        <v>82</v>
      </c>
      <c r="L17" s="10">
        <v>88</v>
      </c>
      <c r="M17" s="10">
        <v>230</v>
      </c>
      <c r="N17" s="10">
        <v>312</v>
      </c>
      <c r="O17" s="10">
        <v>383</v>
      </c>
      <c r="P17" s="13">
        <v>427</v>
      </c>
      <c r="Q17" s="13">
        <v>427</v>
      </c>
      <c r="R17" s="13">
        <v>20</v>
      </c>
      <c r="S17" s="13">
        <v>47</v>
      </c>
      <c r="T17" s="1"/>
      <c r="U17" s="1"/>
      <c r="V17" s="1"/>
      <c r="W17" s="1"/>
      <c r="X17" s="1"/>
      <c r="Y17" s="1"/>
      <c r="Z17" s="1"/>
    </row>
    <row r="18" spans="1:26" ht="15.75" customHeight="1">
      <c r="A18" s="67">
        <v>13</v>
      </c>
      <c r="B18" s="10" t="s">
        <v>28</v>
      </c>
      <c r="C18" s="10" t="s">
        <v>50</v>
      </c>
      <c r="D18" s="10" t="s">
        <v>30</v>
      </c>
      <c r="E18" s="10"/>
      <c r="F18" s="10"/>
      <c r="G18" s="10"/>
      <c r="H18" s="12" t="s">
        <v>51</v>
      </c>
      <c r="I18" s="10">
        <v>71</v>
      </c>
      <c r="J18" s="10">
        <v>76</v>
      </c>
      <c r="K18" s="10">
        <v>80</v>
      </c>
      <c r="L18" s="10">
        <v>85</v>
      </c>
      <c r="M18" s="10">
        <v>195</v>
      </c>
      <c r="N18" s="10">
        <v>295</v>
      </c>
      <c r="O18" s="10">
        <v>354</v>
      </c>
      <c r="P18" s="10">
        <v>412</v>
      </c>
      <c r="Q18" s="10">
        <v>412</v>
      </c>
      <c r="R18" s="10">
        <v>20</v>
      </c>
      <c r="S18" s="10">
        <v>47</v>
      </c>
      <c r="T18" s="1"/>
      <c r="U18" s="1"/>
      <c r="V18" s="1"/>
      <c r="W18" s="1"/>
      <c r="X18" s="1"/>
      <c r="Y18" s="1"/>
      <c r="Z18" s="1"/>
    </row>
    <row r="19" spans="1:26" ht="15.75" customHeight="1">
      <c r="A19" s="67">
        <v>14</v>
      </c>
      <c r="B19" s="10" t="s">
        <v>28</v>
      </c>
      <c r="C19" s="10" t="s">
        <v>50</v>
      </c>
      <c r="D19" s="16" t="s">
        <v>36</v>
      </c>
      <c r="E19" s="10"/>
      <c r="F19" s="10"/>
      <c r="G19" s="10"/>
      <c r="H19" s="12" t="s">
        <v>52</v>
      </c>
      <c r="I19" s="10">
        <v>107</v>
      </c>
      <c r="J19" s="13">
        <v>112</v>
      </c>
      <c r="K19" s="13">
        <v>116</v>
      </c>
      <c r="L19" s="13">
        <v>121</v>
      </c>
      <c r="M19" s="13">
        <v>255</v>
      </c>
      <c r="N19" s="10">
        <v>383</v>
      </c>
      <c r="O19" s="10">
        <v>504</v>
      </c>
      <c r="P19" s="13">
        <v>618</v>
      </c>
      <c r="Q19" s="13">
        <v>618</v>
      </c>
      <c r="R19" s="10">
        <v>40</v>
      </c>
      <c r="S19" s="10">
        <v>65</v>
      </c>
      <c r="T19" s="1"/>
      <c r="U19" s="1"/>
      <c r="V19" s="1"/>
      <c r="W19" s="1"/>
      <c r="X19" s="1"/>
      <c r="Y19" s="1"/>
      <c r="Z19" s="1"/>
    </row>
    <row r="20" spans="1:26" ht="15.75" customHeight="1">
      <c r="A20" s="67">
        <v>15</v>
      </c>
      <c r="B20" s="10" t="s">
        <v>28</v>
      </c>
      <c r="C20" s="10" t="s">
        <v>53</v>
      </c>
      <c r="D20" s="10" t="s">
        <v>30</v>
      </c>
      <c r="E20" s="10"/>
      <c r="F20" s="10"/>
      <c r="G20" s="10"/>
      <c r="H20" s="12" t="s">
        <v>54</v>
      </c>
      <c r="I20" s="10">
        <v>71</v>
      </c>
      <c r="J20" s="10">
        <v>76</v>
      </c>
      <c r="K20" s="10">
        <v>80</v>
      </c>
      <c r="L20" s="10">
        <v>85</v>
      </c>
      <c r="M20" s="10">
        <v>206</v>
      </c>
      <c r="N20" s="10">
        <v>295</v>
      </c>
      <c r="O20" s="10">
        <v>354</v>
      </c>
      <c r="P20" s="10">
        <v>412</v>
      </c>
      <c r="Q20" s="10">
        <v>412</v>
      </c>
      <c r="R20" s="10">
        <v>20</v>
      </c>
      <c r="S20" s="10">
        <v>47</v>
      </c>
      <c r="T20" s="17"/>
      <c r="U20" s="1"/>
      <c r="V20" s="1"/>
      <c r="W20" s="1"/>
      <c r="X20" s="1"/>
      <c r="Y20" s="1"/>
      <c r="Z20" s="1"/>
    </row>
    <row r="21" spans="1:26" ht="15.75" customHeight="1">
      <c r="A21" s="67">
        <v>16</v>
      </c>
      <c r="B21" s="10" t="s">
        <v>28</v>
      </c>
      <c r="C21" s="10" t="s">
        <v>53</v>
      </c>
      <c r="D21" s="10" t="s">
        <v>36</v>
      </c>
      <c r="E21" s="10"/>
      <c r="F21" s="10"/>
      <c r="G21" s="10"/>
      <c r="H21" s="12" t="s">
        <v>55</v>
      </c>
      <c r="I21" s="10">
        <v>107</v>
      </c>
      <c r="J21" s="13">
        <v>112</v>
      </c>
      <c r="K21" s="13">
        <v>116</v>
      </c>
      <c r="L21" s="13">
        <v>121</v>
      </c>
      <c r="M21" s="13">
        <v>255</v>
      </c>
      <c r="N21" s="10">
        <v>383</v>
      </c>
      <c r="O21" s="10">
        <v>504</v>
      </c>
      <c r="P21" s="13">
        <v>618</v>
      </c>
      <c r="Q21" s="13">
        <v>618</v>
      </c>
      <c r="R21" s="10">
        <v>40</v>
      </c>
      <c r="S21" s="10">
        <v>65</v>
      </c>
      <c r="T21" s="1"/>
      <c r="U21" s="1"/>
      <c r="V21" s="1"/>
      <c r="W21" s="1"/>
      <c r="X21" s="1"/>
      <c r="Y21" s="1"/>
      <c r="Z21" s="1"/>
    </row>
    <row r="22" spans="1:26" ht="15.75" customHeight="1">
      <c r="A22" s="67">
        <v>17</v>
      </c>
      <c r="B22" s="10" t="s">
        <v>28</v>
      </c>
      <c r="C22" s="10" t="s">
        <v>56</v>
      </c>
      <c r="D22" s="10" t="s">
        <v>30</v>
      </c>
      <c r="E22" s="10"/>
      <c r="F22" s="10"/>
      <c r="G22" s="10"/>
      <c r="H22" s="12" t="s">
        <v>57</v>
      </c>
      <c r="I22" s="10">
        <v>76</v>
      </c>
      <c r="J22" s="10">
        <v>80</v>
      </c>
      <c r="K22" s="10">
        <v>85</v>
      </c>
      <c r="L22" s="10">
        <v>90</v>
      </c>
      <c r="M22" s="10">
        <v>206</v>
      </c>
      <c r="N22" s="10">
        <v>295</v>
      </c>
      <c r="O22" s="10">
        <v>354</v>
      </c>
      <c r="P22" s="10">
        <v>412</v>
      </c>
      <c r="Q22" s="13">
        <v>412</v>
      </c>
      <c r="R22" s="10">
        <v>20</v>
      </c>
      <c r="S22" s="10">
        <v>47</v>
      </c>
      <c r="T22" s="1"/>
      <c r="U22" s="1"/>
      <c r="V22" s="1"/>
      <c r="W22" s="1"/>
      <c r="X22" s="1"/>
      <c r="Y22" s="1"/>
      <c r="Z22" s="1"/>
    </row>
    <row r="23" spans="1:26" ht="15.75" customHeight="1">
      <c r="A23" s="67">
        <v>18</v>
      </c>
      <c r="B23" s="10" t="s">
        <v>28</v>
      </c>
      <c r="C23" s="10" t="s">
        <v>56</v>
      </c>
      <c r="D23" s="10" t="s">
        <v>36</v>
      </c>
      <c r="E23" s="10"/>
      <c r="F23" s="10"/>
      <c r="G23" s="10"/>
      <c r="H23" s="12" t="s">
        <v>58</v>
      </c>
      <c r="I23" s="10">
        <v>112</v>
      </c>
      <c r="J23" s="13">
        <v>116</v>
      </c>
      <c r="K23" s="13">
        <v>121</v>
      </c>
      <c r="L23" s="13">
        <v>126</v>
      </c>
      <c r="M23" s="13">
        <v>266</v>
      </c>
      <c r="N23" s="10">
        <v>388</v>
      </c>
      <c r="O23" s="10">
        <v>504</v>
      </c>
      <c r="P23" s="13">
        <v>628</v>
      </c>
      <c r="Q23" s="13">
        <v>628</v>
      </c>
      <c r="R23" s="10">
        <v>40</v>
      </c>
      <c r="S23" s="10">
        <v>65</v>
      </c>
      <c r="T23" s="1"/>
      <c r="U23" s="1"/>
      <c r="V23" s="1"/>
      <c r="W23" s="1"/>
      <c r="X23" s="1"/>
      <c r="Y23" s="1"/>
      <c r="Z23" s="1"/>
    </row>
    <row r="24" spans="1:26" ht="15.75" customHeight="1">
      <c r="A24" s="67">
        <v>19</v>
      </c>
      <c r="B24" s="10" t="s">
        <v>28</v>
      </c>
      <c r="C24" s="10" t="s">
        <v>59</v>
      </c>
      <c r="D24" s="10" t="s">
        <v>30</v>
      </c>
      <c r="E24" s="10"/>
      <c r="F24" s="10"/>
      <c r="G24" s="10"/>
      <c r="H24" s="12" t="s">
        <v>60</v>
      </c>
      <c r="I24" s="10">
        <v>71</v>
      </c>
      <c r="J24" s="10">
        <v>76</v>
      </c>
      <c r="K24" s="10">
        <v>80</v>
      </c>
      <c r="L24" s="10">
        <v>85</v>
      </c>
      <c r="M24" s="10">
        <v>195</v>
      </c>
      <c r="N24" s="10">
        <v>265</v>
      </c>
      <c r="O24" s="10">
        <v>324</v>
      </c>
      <c r="P24" s="10">
        <v>354</v>
      </c>
      <c r="Q24" s="10">
        <v>354</v>
      </c>
      <c r="R24" s="10">
        <v>20</v>
      </c>
      <c r="S24" s="10">
        <v>47</v>
      </c>
      <c r="T24" s="1"/>
      <c r="U24" s="1"/>
      <c r="V24" s="1"/>
      <c r="W24" s="1"/>
      <c r="X24" s="1"/>
      <c r="Y24" s="1"/>
      <c r="Z24" s="1"/>
    </row>
    <row r="25" spans="1:26" ht="15.75" customHeight="1">
      <c r="A25" s="67">
        <v>20</v>
      </c>
      <c r="B25" s="10" t="s">
        <v>28</v>
      </c>
      <c r="C25" s="10" t="s">
        <v>59</v>
      </c>
      <c r="D25" s="10" t="s">
        <v>36</v>
      </c>
      <c r="E25" s="10"/>
      <c r="F25" s="10"/>
      <c r="G25" s="10"/>
      <c r="H25" s="12" t="s">
        <v>61</v>
      </c>
      <c r="I25" s="10">
        <v>107</v>
      </c>
      <c r="J25" s="13">
        <v>112</v>
      </c>
      <c r="K25" s="13">
        <v>116</v>
      </c>
      <c r="L25" s="13">
        <v>121</v>
      </c>
      <c r="M25" s="13">
        <v>255</v>
      </c>
      <c r="N25" s="10">
        <v>383</v>
      </c>
      <c r="O25" s="10">
        <v>504</v>
      </c>
      <c r="P25" s="13">
        <v>618</v>
      </c>
      <c r="Q25" s="13">
        <v>618</v>
      </c>
      <c r="R25" s="10">
        <v>40</v>
      </c>
      <c r="S25" s="10">
        <v>65</v>
      </c>
      <c r="T25" s="1"/>
      <c r="U25" s="1"/>
      <c r="V25" s="1"/>
      <c r="W25" s="1"/>
      <c r="X25" s="1"/>
      <c r="Y25" s="1"/>
      <c r="Z25" s="1"/>
    </row>
    <row r="26" spans="1:26" ht="15.75" customHeight="1">
      <c r="A26" s="67">
        <v>21</v>
      </c>
      <c r="B26" s="10" t="s">
        <v>28</v>
      </c>
      <c r="C26" s="10" t="s">
        <v>62</v>
      </c>
      <c r="D26" s="10" t="s">
        <v>30</v>
      </c>
      <c r="E26" s="10"/>
      <c r="F26" s="10"/>
      <c r="G26" s="10"/>
      <c r="H26" s="12" t="s">
        <v>63</v>
      </c>
      <c r="I26" s="10">
        <v>71</v>
      </c>
      <c r="J26" s="10">
        <v>76</v>
      </c>
      <c r="K26" s="10">
        <v>80</v>
      </c>
      <c r="L26" s="10">
        <v>85</v>
      </c>
      <c r="M26" s="10">
        <v>195</v>
      </c>
      <c r="N26" s="10">
        <v>265</v>
      </c>
      <c r="O26" s="10">
        <v>324</v>
      </c>
      <c r="P26" s="10">
        <v>383</v>
      </c>
      <c r="Q26" s="10">
        <v>383</v>
      </c>
      <c r="R26" s="10">
        <v>20</v>
      </c>
      <c r="S26" s="10">
        <v>47</v>
      </c>
      <c r="T26" s="1"/>
      <c r="U26" s="1"/>
      <c r="V26" s="1"/>
      <c r="W26" s="1"/>
      <c r="X26" s="1"/>
      <c r="Y26" s="1"/>
      <c r="Z26" s="1"/>
    </row>
    <row r="27" spans="1:26" ht="15.75" customHeight="1">
      <c r="A27" s="67">
        <v>22</v>
      </c>
      <c r="B27" s="10" t="s">
        <v>28</v>
      </c>
      <c r="C27" s="10" t="s">
        <v>62</v>
      </c>
      <c r="D27" s="10" t="s">
        <v>36</v>
      </c>
      <c r="E27" s="10"/>
      <c r="F27" s="10"/>
      <c r="G27" s="10"/>
      <c r="H27" s="12" t="s">
        <v>64</v>
      </c>
      <c r="I27" s="10">
        <v>107</v>
      </c>
      <c r="J27" s="13">
        <v>112</v>
      </c>
      <c r="K27" s="13">
        <v>116</v>
      </c>
      <c r="L27" s="13">
        <v>121</v>
      </c>
      <c r="M27" s="13">
        <v>255</v>
      </c>
      <c r="N27" s="10">
        <v>383</v>
      </c>
      <c r="O27" s="10">
        <v>504</v>
      </c>
      <c r="P27" s="13">
        <v>618</v>
      </c>
      <c r="Q27" s="13">
        <v>618</v>
      </c>
      <c r="R27" s="10">
        <v>40</v>
      </c>
      <c r="S27" s="10">
        <v>65</v>
      </c>
      <c r="T27" s="1"/>
      <c r="U27" s="1"/>
      <c r="V27" s="1"/>
      <c r="W27" s="1"/>
      <c r="X27" s="1"/>
      <c r="Y27" s="1"/>
      <c r="Z27" s="1"/>
    </row>
    <row r="28" spans="1:26" ht="15.75" customHeight="1">
      <c r="A28" s="67">
        <v>23</v>
      </c>
      <c r="B28" s="10" t="s">
        <v>28</v>
      </c>
      <c r="C28" s="10" t="s">
        <v>65</v>
      </c>
      <c r="D28" s="10" t="s">
        <v>30</v>
      </c>
      <c r="E28" s="10"/>
      <c r="F28" s="10"/>
      <c r="G28" s="10"/>
      <c r="H28" s="12" t="s">
        <v>66</v>
      </c>
      <c r="I28" s="10">
        <v>71</v>
      </c>
      <c r="J28" s="10">
        <v>76</v>
      </c>
      <c r="K28" s="10">
        <v>80</v>
      </c>
      <c r="L28" s="10">
        <v>85</v>
      </c>
      <c r="M28" s="10">
        <v>195</v>
      </c>
      <c r="N28" s="10">
        <v>265</v>
      </c>
      <c r="O28" s="10">
        <v>324</v>
      </c>
      <c r="P28" s="10">
        <v>383</v>
      </c>
      <c r="Q28" s="13">
        <v>383</v>
      </c>
      <c r="R28" s="10">
        <v>20</v>
      </c>
      <c r="S28" s="10">
        <v>47</v>
      </c>
      <c r="T28" s="1"/>
      <c r="U28" s="1"/>
      <c r="V28" s="1"/>
      <c r="W28" s="1"/>
      <c r="X28" s="1"/>
      <c r="Y28" s="1"/>
      <c r="Z28" s="1"/>
    </row>
    <row r="29" spans="1:26" ht="15.75" customHeight="1">
      <c r="A29" s="67">
        <v>24</v>
      </c>
      <c r="B29" s="10" t="s">
        <v>28</v>
      </c>
      <c r="C29" s="10" t="s">
        <v>65</v>
      </c>
      <c r="D29" s="10" t="s">
        <v>36</v>
      </c>
      <c r="E29" s="10"/>
      <c r="F29" s="10"/>
      <c r="G29" s="10"/>
      <c r="H29" s="12" t="s">
        <v>67</v>
      </c>
      <c r="I29" s="10">
        <v>107</v>
      </c>
      <c r="J29" s="13">
        <v>112</v>
      </c>
      <c r="K29" s="13">
        <v>116</v>
      </c>
      <c r="L29" s="13">
        <v>121</v>
      </c>
      <c r="M29" s="13">
        <v>255</v>
      </c>
      <c r="N29" s="10">
        <v>383</v>
      </c>
      <c r="O29" s="10">
        <v>474</v>
      </c>
      <c r="P29" s="13">
        <v>589</v>
      </c>
      <c r="Q29" s="13">
        <v>589</v>
      </c>
      <c r="R29" s="10">
        <v>40</v>
      </c>
      <c r="S29" s="10">
        <v>65</v>
      </c>
      <c r="T29" s="1"/>
      <c r="U29" s="1"/>
      <c r="V29" s="1"/>
      <c r="W29" s="1"/>
      <c r="X29" s="1"/>
      <c r="Y29" s="1"/>
      <c r="Z29" s="1"/>
    </row>
    <row r="30" spans="1:26" ht="15.75" customHeight="1">
      <c r="A30" s="67">
        <v>25</v>
      </c>
      <c r="B30" s="10" t="s">
        <v>28</v>
      </c>
      <c r="C30" s="10" t="s">
        <v>68</v>
      </c>
      <c r="D30" s="10" t="s">
        <v>30</v>
      </c>
      <c r="E30" s="10"/>
      <c r="F30" s="10"/>
      <c r="G30" s="10"/>
      <c r="H30" s="12" t="s">
        <v>69</v>
      </c>
      <c r="I30" s="10">
        <v>71</v>
      </c>
      <c r="J30" s="10">
        <v>76</v>
      </c>
      <c r="K30" s="10">
        <v>80</v>
      </c>
      <c r="L30" s="10">
        <v>85</v>
      </c>
      <c r="M30" s="10">
        <v>195</v>
      </c>
      <c r="N30" s="10">
        <v>265</v>
      </c>
      <c r="O30" s="10">
        <v>324</v>
      </c>
      <c r="P30" s="10">
        <v>354</v>
      </c>
      <c r="Q30" s="13">
        <v>354</v>
      </c>
      <c r="R30" s="10">
        <v>20</v>
      </c>
      <c r="S30" s="10">
        <v>47</v>
      </c>
      <c r="T30" s="1"/>
      <c r="U30" s="1"/>
      <c r="V30" s="1"/>
      <c r="W30" s="1"/>
      <c r="X30" s="1"/>
      <c r="Y30" s="1"/>
      <c r="Z30" s="1"/>
    </row>
    <row r="31" spans="1:26" ht="15.75" customHeight="1">
      <c r="A31" s="67">
        <v>26</v>
      </c>
      <c r="B31" s="10" t="s">
        <v>28</v>
      </c>
      <c r="C31" s="10" t="s">
        <v>68</v>
      </c>
      <c r="D31" s="10" t="s">
        <v>36</v>
      </c>
      <c r="E31" s="10"/>
      <c r="F31" s="10"/>
      <c r="G31" s="10"/>
      <c r="H31" s="12" t="s">
        <v>70</v>
      </c>
      <c r="I31" s="10">
        <v>107</v>
      </c>
      <c r="J31" s="13">
        <v>112</v>
      </c>
      <c r="K31" s="13">
        <v>116</v>
      </c>
      <c r="L31" s="13">
        <v>121</v>
      </c>
      <c r="M31" s="13">
        <v>255</v>
      </c>
      <c r="N31" s="10">
        <v>353</v>
      </c>
      <c r="O31" s="10">
        <v>150</v>
      </c>
      <c r="P31" s="13">
        <v>560</v>
      </c>
      <c r="Q31" s="13">
        <v>560</v>
      </c>
      <c r="R31" s="10">
        <v>40</v>
      </c>
      <c r="S31" s="10">
        <v>65</v>
      </c>
      <c r="T31" s="1"/>
      <c r="U31" s="1"/>
      <c r="V31" s="1"/>
      <c r="W31" s="1"/>
      <c r="X31" s="1"/>
      <c r="Y31" s="1"/>
      <c r="Z31" s="1"/>
    </row>
    <row r="32" spans="1:26" ht="15.75" customHeight="1">
      <c r="A32" s="67">
        <v>27</v>
      </c>
      <c r="B32" s="10" t="s">
        <v>28</v>
      </c>
      <c r="C32" s="10" t="s">
        <v>71</v>
      </c>
      <c r="D32" s="10" t="s">
        <v>30</v>
      </c>
      <c r="E32" s="10"/>
      <c r="F32" s="10"/>
      <c r="G32" s="10"/>
      <c r="H32" s="12" t="s">
        <v>72</v>
      </c>
      <c r="I32" s="10">
        <v>77</v>
      </c>
      <c r="J32" s="10">
        <v>83</v>
      </c>
      <c r="K32" s="10">
        <v>101</v>
      </c>
      <c r="L32" s="10">
        <v>112</v>
      </c>
      <c r="M32" s="10">
        <v>300</v>
      </c>
      <c r="N32" s="10">
        <v>207</v>
      </c>
      <c r="O32" s="10">
        <v>412</v>
      </c>
      <c r="P32" s="10">
        <v>471</v>
      </c>
      <c r="Q32" s="10">
        <v>471</v>
      </c>
      <c r="R32" s="10">
        <v>20</v>
      </c>
      <c r="S32" s="10">
        <v>47</v>
      </c>
      <c r="T32" s="1"/>
      <c r="U32" s="1"/>
      <c r="V32" s="1"/>
      <c r="W32" s="1"/>
      <c r="X32" s="1"/>
      <c r="Y32" s="1"/>
      <c r="Z32" s="1"/>
    </row>
    <row r="33" spans="1:26" ht="15.75" customHeight="1">
      <c r="A33" s="67">
        <v>28</v>
      </c>
      <c r="B33" s="10" t="s">
        <v>28</v>
      </c>
      <c r="C33" s="10" t="s">
        <v>71</v>
      </c>
      <c r="D33" s="10" t="s">
        <v>36</v>
      </c>
      <c r="E33" s="10"/>
      <c r="F33" s="10"/>
      <c r="G33" s="10"/>
      <c r="H33" s="12" t="s">
        <v>73</v>
      </c>
      <c r="I33" s="10">
        <v>77</v>
      </c>
      <c r="J33" s="10">
        <v>83</v>
      </c>
      <c r="K33" s="10">
        <v>101</v>
      </c>
      <c r="L33" s="10">
        <v>112</v>
      </c>
      <c r="M33" s="10">
        <v>300</v>
      </c>
      <c r="N33" s="10">
        <v>207</v>
      </c>
      <c r="O33" s="10">
        <v>412</v>
      </c>
      <c r="P33" s="10">
        <v>471</v>
      </c>
      <c r="Q33" s="10">
        <v>471</v>
      </c>
      <c r="R33" s="10">
        <v>20</v>
      </c>
      <c r="S33" s="10">
        <v>47</v>
      </c>
      <c r="T33" s="1"/>
      <c r="U33" s="1"/>
      <c r="V33" s="1"/>
      <c r="W33" s="1"/>
      <c r="X33" s="1"/>
      <c r="Y33" s="1"/>
      <c r="Z33" s="1"/>
    </row>
    <row r="34" spans="1:26" ht="15.75" customHeight="1">
      <c r="A34" s="67">
        <v>29</v>
      </c>
      <c r="B34" s="10" t="s">
        <v>50</v>
      </c>
      <c r="C34" s="10" t="s">
        <v>74</v>
      </c>
      <c r="D34" s="10" t="s">
        <v>36</v>
      </c>
      <c r="E34" s="10"/>
      <c r="F34" s="10"/>
      <c r="G34" s="10"/>
      <c r="H34" s="12" t="s">
        <v>75</v>
      </c>
      <c r="I34" s="18">
        <v>35</v>
      </c>
      <c r="J34" s="18">
        <v>35</v>
      </c>
      <c r="K34" s="18">
        <v>47</v>
      </c>
      <c r="L34" s="18">
        <v>47</v>
      </c>
      <c r="M34" s="18">
        <v>100</v>
      </c>
      <c r="N34" s="18">
        <v>1</v>
      </c>
      <c r="O34" s="18">
        <v>1</v>
      </c>
      <c r="P34" s="18">
        <v>1</v>
      </c>
      <c r="Q34" s="18">
        <v>1</v>
      </c>
      <c r="R34" s="18">
        <v>20</v>
      </c>
      <c r="S34" s="18">
        <v>47</v>
      </c>
      <c r="T34" s="1"/>
      <c r="U34" s="1"/>
      <c r="V34" s="1"/>
      <c r="W34" s="1"/>
      <c r="X34" s="1"/>
      <c r="Y34" s="1"/>
      <c r="Z34" s="1"/>
    </row>
    <row r="35" spans="1:26" ht="15.75" customHeight="1">
      <c r="A35" s="67">
        <v>30</v>
      </c>
      <c r="B35" s="10" t="s">
        <v>28</v>
      </c>
      <c r="C35" s="10" t="s">
        <v>76</v>
      </c>
      <c r="D35" s="10" t="s">
        <v>36</v>
      </c>
      <c r="E35" s="10"/>
      <c r="F35" s="10"/>
      <c r="G35" s="10"/>
      <c r="H35" s="12" t="s">
        <v>77</v>
      </c>
      <c r="I35" s="10">
        <v>113</v>
      </c>
      <c r="J35" s="13">
        <v>119</v>
      </c>
      <c r="K35" s="13">
        <v>137</v>
      </c>
      <c r="L35" s="13">
        <v>148</v>
      </c>
      <c r="M35" s="13">
        <v>325</v>
      </c>
      <c r="N35" s="10">
        <v>442</v>
      </c>
      <c r="O35" s="10">
        <v>709</v>
      </c>
      <c r="P35" s="13">
        <v>677</v>
      </c>
      <c r="Q35" s="13">
        <v>677</v>
      </c>
      <c r="R35" s="10">
        <v>40</v>
      </c>
      <c r="S35" s="10">
        <v>65</v>
      </c>
      <c r="T35" s="1"/>
      <c r="U35" s="1"/>
      <c r="V35" s="1"/>
      <c r="W35" s="1"/>
      <c r="X35" s="1"/>
      <c r="Y35" s="1"/>
      <c r="Z35" s="1"/>
    </row>
    <row r="36" spans="1:26" ht="15.75" customHeight="1">
      <c r="A36" s="67">
        <v>31</v>
      </c>
      <c r="B36" s="10" t="s">
        <v>28</v>
      </c>
      <c r="C36" s="10" t="s">
        <v>78</v>
      </c>
      <c r="D36" s="10" t="s">
        <v>30</v>
      </c>
      <c r="E36" s="10"/>
      <c r="F36" s="10"/>
      <c r="G36" s="10"/>
      <c r="H36" s="12" t="s">
        <v>79</v>
      </c>
      <c r="I36" s="10">
        <v>77</v>
      </c>
      <c r="J36" s="10">
        <v>83</v>
      </c>
      <c r="K36" s="10">
        <v>101</v>
      </c>
      <c r="L36" s="10">
        <v>112</v>
      </c>
      <c r="M36" s="10">
        <v>265</v>
      </c>
      <c r="N36" s="10">
        <v>354</v>
      </c>
      <c r="O36" s="10">
        <v>412</v>
      </c>
      <c r="P36" s="10">
        <v>471</v>
      </c>
      <c r="Q36" s="10">
        <v>471</v>
      </c>
      <c r="R36" s="10">
        <v>20</v>
      </c>
      <c r="S36" s="10">
        <v>47</v>
      </c>
      <c r="T36" s="1"/>
      <c r="U36" s="1"/>
      <c r="V36" s="1"/>
      <c r="W36" s="1"/>
      <c r="X36" s="1"/>
      <c r="Y36" s="1"/>
      <c r="Z36" s="1"/>
    </row>
    <row r="37" spans="1:26" ht="15.75" customHeight="1">
      <c r="A37" s="67">
        <v>32</v>
      </c>
      <c r="B37" s="10" t="s">
        <v>28</v>
      </c>
      <c r="C37" s="10" t="s">
        <v>78</v>
      </c>
      <c r="D37" s="10" t="s">
        <v>36</v>
      </c>
      <c r="E37" s="10"/>
      <c r="F37" s="10"/>
      <c r="G37" s="10"/>
      <c r="H37" s="12" t="s">
        <v>80</v>
      </c>
      <c r="I37" s="10">
        <v>113</v>
      </c>
      <c r="J37" s="13">
        <v>119</v>
      </c>
      <c r="K37" s="13">
        <v>137</v>
      </c>
      <c r="L37" s="13">
        <v>148</v>
      </c>
      <c r="M37" s="13">
        <v>325</v>
      </c>
      <c r="N37" s="10">
        <v>442</v>
      </c>
      <c r="O37" s="10">
        <v>709</v>
      </c>
      <c r="P37" s="13">
        <v>677</v>
      </c>
      <c r="Q37" s="13">
        <v>677</v>
      </c>
      <c r="R37" s="10">
        <v>40</v>
      </c>
      <c r="S37" s="10">
        <v>65</v>
      </c>
      <c r="T37" s="1"/>
      <c r="U37" s="1"/>
      <c r="V37" s="1"/>
      <c r="W37" s="1"/>
      <c r="X37" s="1"/>
      <c r="Y37" s="1"/>
      <c r="Z37" s="1"/>
    </row>
    <row r="38" spans="1:26" ht="15.75" customHeight="1">
      <c r="A38" s="67">
        <v>33</v>
      </c>
      <c r="B38" s="10" t="s">
        <v>28</v>
      </c>
      <c r="C38" s="10" t="s">
        <v>81</v>
      </c>
      <c r="D38" s="10" t="s">
        <v>30</v>
      </c>
      <c r="E38" s="10"/>
      <c r="F38" s="10"/>
      <c r="G38" s="10"/>
      <c r="H38" s="12" t="s">
        <v>82</v>
      </c>
      <c r="I38" s="10">
        <v>77</v>
      </c>
      <c r="J38" s="10">
        <v>83</v>
      </c>
      <c r="K38" s="10">
        <v>101</v>
      </c>
      <c r="L38" s="10">
        <v>112</v>
      </c>
      <c r="M38" s="10">
        <v>295</v>
      </c>
      <c r="N38" s="10">
        <v>383</v>
      </c>
      <c r="O38" s="10">
        <v>442</v>
      </c>
      <c r="P38" s="10">
        <v>500</v>
      </c>
      <c r="Q38" s="13">
        <v>500</v>
      </c>
      <c r="R38" s="10">
        <v>20</v>
      </c>
      <c r="S38" s="10">
        <v>47</v>
      </c>
      <c r="T38" s="1"/>
      <c r="U38" s="1"/>
      <c r="V38" s="1"/>
      <c r="W38" s="1"/>
      <c r="X38" s="1"/>
      <c r="Y38" s="1"/>
      <c r="Z38" s="1"/>
    </row>
    <row r="39" spans="1:26" ht="15.75" customHeight="1">
      <c r="A39" s="67">
        <v>34</v>
      </c>
      <c r="B39" s="10" t="s">
        <v>28</v>
      </c>
      <c r="C39" s="10" t="s">
        <v>81</v>
      </c>
      <c r="D39" s="10" t="s">
        <v>36</v>
      </c>
      <c r="E39" s="10"/>
      <c r="F39" s="10"/>
      <c r="G39" s="10"/>
      <c r="H39" s="12" t="s">
        <v>83</v>
      </c>
      <c r="I39" s="10">
        <v>113</v>
      </c>
      <c r="J39" s="13">
        <v>119</v>
      </c>
      <c r="K39" s="13">
        <v>137</v>
      </c>
      <c r="L39" s="13">
        <v>148</v>
      </c>
      <c r="M39" s="13">
        <v>355</v>
      </c>
      <c r="N39" s="10">
        <v>471</v>
      </c>
      <c r="O39" s="10">
        <v>768</v>
      </c>
      <c r="P39" s="13">
        <v>706</v>
      </c>
      <c r="Q39" s="13">
        <v>706</v>
      </c>
      <c r="R39" s="10">
        <v>40</v>
      </c>
      <c r="S39" s="10">
        <v>65</v>
      </c>
      <c r="T39" s="1"/>
      <c r="U39" s="1"/>
      <c r="V39" s="1"/>
      <c r="W39" s="1"/>
      <c r="X39" s="1"/>
      <c r="Y39" s="1"/>
      <c r="Z39" s="1"/>
    </row>
    <row r="40" spans="1:26" ht="15.75" customHeight="1">
      <c r="A40" s="67">
        <v>35</v>
      </c>
      <c r="B40" s="10" t="s">
        <v>28</v>
      </c>
      <c r="C40" s="10" t="s">
        <v>84</v>
      </c>
      <c r="D40" s="10" t="s">
        <v>30</v>
      </c>
      <c r="E40" s="10"/>
      <c r="F40" s="10"/>
      <c r="G40" s="10"/>
      <c r="H40" s="12" t="s">
        <v>85</v>
      </c>
      <c r="I40" s="10">
        <v>77</v>
      </c>
      <c r="J40" s="10">
        <v>83</v>
      </c>
      <c r="K40" s="10">
        <v>101</v>
      </c>
      <c r="L40" s="10">
        <v>112</v>
      </c>
      <c r="M40" s="10">
        <v>295</v>
      </c>
      <c r="N40" s="10">
        <v>383</v>
      </c>
      <c r="O40" s="10">
        <v>442</v>
      </c>
      <c r="P40" s="10">
        <v>500</v>
      </c>
      <c r="Q40" s="13">
        <v>500</v>
      </c>
      <c r="R40" s="10">
        <v>20</v>
      </c>
      <c r="S40" s="10">
        <v>47</v>
      </c>
      <c r="T40" s="1"/>
      <c r="U40" s="1"/>
      <c r="V40" s="1"/>
      <c r="W40" s="1"/>
      <c r="X40" s="1"/>
      <c r="Y40" s="1"/>
      <c r="Z40" s="1"/>
    </row>
    <row r="41" spans="1:26" ht="15.75" customHeight="1">
      <c r="A41" s="67">
        <v>36</v>
      </c>
      <c r="B41" s="10" t="s">
        <v>28</v>
      </c>
      <c r="C41" s="10" t="s">
        <v>84</v>
      </c>
      <c r="D41" s="10" t="s">
        <v>36</v>
      </c>
      <c r="E41" s="10"/>
      <c r="F41" s="10"/>
      <c r="G41" s="10"/>
      <c r="H41" s="12" t="s">
        <v>86</v>
      </c>
      <c r="I41" s="10">
        <v>113</v>
      </c>
      <c r="J41" s="13">
        <v>119</v>
      </c>
      <c r="K41" s="13">
        <v>137</v>
      </c>
      <c r="L41" s="13">
        <v>148</v>
      </c>
      <c r="M41" s="13">
        <v>355</v>
      </c>
      <c r="N41" s="10">
        <v>471</v>
      </c>
      <c r="O41" s="10">
        <v>768</v>
      </c>
      <c r="P41" s="13">
        <v>706</v>
      </c>
      <c r="Q41" s="13">
        <v>706</v>
      </c>
      <c r="R41" s="10">
        <v>40</v>
      </c>
      <c r="S41" s="10">
        <v>65</v>
      </c>
      <c r="T41" s="1"/>
      <c r="U41" s="1"/>
      <c r="V41" s="1"/>
      <c r="W41" s="1"/>
      <c r="X41" s="1"/>
      <c r="Y41" s="1"/>
      <c r="Z41" s="1"/>
    </row>
    <row r="42" spans="1:26" ht="15.75" customHeight="1">
      <c r="A42" s="67">
        <v>37</v>
      </c>
      <c r="B42" s="10" t="s">
        <v>50</v>
      </c>
      <c r="C42" s="10" t="s">
        <v>53</v>
      </c>
      <c r="D42" s="10" t="s">
        <v>30</v>
      </c>
      <c r="E42" s="10"/>
      <c r="F42" s="10"/>
      <c r="G42" s="10"/>
      <c r="H42" s="12" t="s">
        <v>87</v>
      </c>
      <c r="I42" s="10">
        <v>30</v>
      </c>
      <c r="J42" s="10">
        <v>36</v>
      </c>
      <c r="K42" s="10">
        <v>47</v>
      </c>
      <c r="L42" s="10">
        <v>59</v>
      </c>
      <c r="M42" s="10">
        <v>100</v>
      </c>
      <c r="N42" s="10">
        <v>120</v>
      </c>
      <c r="O42" s="10">
        <v>120</v>
      </c>
      <c r="P42" s="10">
        <v>200</v>
      </c>
      <c r="Q42" s="10">
        <v>200</v>
      </c>
      <c r="R42" s="10">
        <v>20</v>
      </c>
      <c r="S42" s="10">
        <v>47</v>
      </c>
      <c r="T42" s="1"/>
      <c r="U42" s="1"/>
      <c r="V42" s="1"/>
      <c r="W42" s="1"/>
      <c r="X42" s="1"/>
      <c r="Y42" s="1"/>
      <c r="Z42" s="1"/>
    </row>
    <row r="43" spans="1:26" ht="15.75" customHeight="1">
      <c r="A43" s="67">
        <v>38</v>
      </c>
      <c r="B43" s="10" t="s">
        <v>50</v>
      </c>
      <c r="C43" s="10" t="s">
        <v>76</v>
      </c>
      <c r="D43" s="10" t="s">
        <v>30</v>
      </c>
      <c r="E43" s="10"/>
      <c r="F43" s="10"/>
      <c r="G43" s="10"/>
      <c r="H43" s="12" t="s">
        <v>88</v>
      </c>
      <c r="I43" s="10">
        <v>30</v>
      </c>
      <c r="J43" s="10">
        <v>36</v>
      </c>
      <c r="K43" s="10">
        <v>47</v>
      </c>
      <c r="L43" s="10">
        <v>59</v>
      </c>
      <c r="M43" s="10">
        <v>100</v>
      </c>
      <c r="N43" s="10">
        <v>120</v>
      </c>
      <c r="O43" s="10">
        <v>147</v>
      </c>
      <c r="P43" s="10">
        <v>177</v>
      </c>
      <c r="Q43" s="10">
        <v>177</v>
      </c>
      <c r="R43" s="10">
        <v>20</v>
      </c>
      <c r="S43" s="10">
        <v>47</v>
      </c>
      <c r="T43" s="1"/>
      <c r="U43" s="1"/>
      <c r="V43" s="1"/>
      <c r="W43" s="1"/>
      <c r="X43" s="1"/>
      <c r="Y43" s="1"/>
      <c r="Z43" s="1"/>
    </row>
    <row r="44" spans="1:26" ht="15.75" customHeight="1">
      <c r="A44" s="67">
        <v>39</v>
      </c>
      <c r="B44" s="10" t="s">
        <v>28</v>
      </c>
      <c r="C44" s="14" t="s">
        <v>89</v>
      </c>
      <c r="D44" s="10" t="s">
        <v>30</v>
      </c>
      <c r="E44" s="10"/>
      <c r="F44" s="10"/>
      <c r="G44" s="10"/>
      <c r="H44" s="12" t="s">
        <v>90</v>
      </c>
      <c r="I44" s="10">
        <v>30</v>
      </c>
      <c r="J44" s="10">
        <v>36</v>
      </c>
      <c r="K44" s="10">
        <v>47</v>
      </c>
      <c r="L44" s="10">
        <v>59</v>
      </c>
      <c r="M44" s="10">
        <v>165</v>
      </c>
      <c r="N44" s="10">
        <v>236</v>
      </c>
      <c r="O44" s="10">
        <v>295</v>
      </c>
      <c r="P44" s="10">
        <v>354</v>
      </c>
      <c r="Q44" s="10">
        <v>354</v>
      </c>
      <c r="R44" s="10">
        <v>20</v>
      </c>
      <c r="S44" s="10">
        <v>47</v>
      </c>
      <c r="T44" s="1"/>
      <c r="U44" s="1"/>
      <c r="V44" s="1"/>
      <c r="W44" s="1"/>
      <c r="X44" s="1"/>
      <c r="Y44" s="1"/>
      <c r="Z44" s="1"/>
    </row>
    <row r="45" spans="1:26" ht="15.75" customHeight="1">
      <c r="A45" s="67">
        <v>40</v>
      </c>
      <c r="B45" s="10" t="s">
        <v>28</v>
      </c>
      <c r="C45" s="10" t="s">
        <v>91</v>
      </c>
      <c r="D45" s="10" t="s">
        <v>92</v>
      </c>
      <c r="E45" s="10"/>
      <c r="F45" s="10"/>
      <c r="G45" s="10"/>
      <c r="H45" s="12" t="s">
        <v>93</v>
      </c>
      <c r="I45" s="10">
        <v>65</v>
      </c>
      <c r="J45" s="10">
        <v>71</v>
      </c>
      <c r="K45" s="10">
        <v>112</v>
      </c>
      <c r="L45" s="10">
        <v>124</v>
      </c>
      <c r="M45" s="10">
        <v>324</v>
      </c>
      <c r="N45" s="10">
        <v>412</v>
      </c>
      <c r="O45" s="10">
        <v>471</v>
      </c>
      <c r="P45" s="10">
        <v>530</v>
      </c>
      <c r="Q45" s="10">
        <v>530</v>
      </c>
      <c r="R45" s="10">
        <v>40</v>
      </c>
      <c r="S45" s="10">
        <v>47</v>
      </c>
      <c r="T45" s="1"/>
      <c r="U45" s="1"/>
      <c r="V45" s="1"/>
      <c r="W45" s="1"/>
      <c r="X45" s="1"/>
      <c r="Y45" s="1"/>
      <c r="Z45" s="1"/>
    </row>
    <row r="46" spans="1:26" ht="15.75" customHeight="1">
      <c r="A46" s="67">
        <v>41</v>
      </c>
      <c r="B46" s="10" t="s">
        <v>28</v>
      </c>
      <c r="C46" s="10" t="s">
        <v>94</v>
      </c>
      <c r="D46" s="10" t="s">
        <v>95</v>
      </c>
      <c r="E46" s="10"/>
      <c r="F46" s="10"/>
      <c r="G46" s="10"/>
      <c r="H46" s="12" t="s">
        <v>96</v>
      </c>
      <c r="I46" s="10">
        <v>89</v>
      </c>
      <c r="J46" s="10">
        <v>95</v>
      </c>
      <c r="K46" s="10">
        <v>112</v>
      </c>
      <c r="L46" s="10">
        <v>124</v>
      </c>
      <c r="M46" s="10">
        <v>324</v>
      </c>
      <c r="N46" s="10">
        <v>412</v>
      </c>
      <c r="O46" s="10">
        <v>471</v>
      </c>
      <c r="P46" s="10">
        <v>530</v>
      </c>
      <c r="Q46" s="10">
        <v>530</v>
      </c>
      <c r="R46" s="10">
        <v>40</v>
      </c>
      <c r="S46" s="10">
        <v>47</v>
      </c>
      <c r="T46" s="1"/>
      <c r="U46" s="1"/>
      <c r="V46" s="1"/>
      <c r="W46" s="1"/>
      <c r="X46" s="1"/>
      <c r="Y46" s="1"/>
      <c r="Z46" s="1"/>
    </row>
    <row r="47" spans="1:26" ht="15.75" customHeight="1">
      <c r="A47" s="67">
        <v>42</v>
      </c>
      <c r="B47" s="10" t="s">
        <v>50</v>
      </c>
      <c r="C47" s="10" t="s">
        <v>97</v>
      </c>
      <c r="D47" s="10" t="s">
        <v>30</v>
      </c>
      <c r="E47" s="10"/>
      <c r="F47" s="10"/>
      <c r="G47" s="10"/>
      <c r="H47" s="12" t="s">
        <v>98</v>
      </c>
      <c r="I47" s="10">
        <v>71</v>
      </c>
      <c r="J47" s="10">
        <v>77</v>
      </c>
      <c r="K47" s="10">
        <v>89</v>
      </c>
      <c r="L47" s="10">
        <v>101</v>
      </c>
      <c r="M47" s="10">
        <v>147</v>
      </c>
      <c r="N47" s="10">
        <v>165</v>
      </c>
      <c r="O47" s="10">
        <v>177</v>
      </c>
      <c r="P47" s="10">
        <v>206</v>
      </c>
      <c r="Q47" s="10">
        <v>206</v>
      </c>
      <c r="R47" s="10">
        <v>20</v>
      </c>
      <c r="S47" s="10">
        <v>47</v>
      </c>
      <c r="T47" s="1"/>
      <c r="U47" s="1"/>
      <c r="V47" s="1"/>
      <c r="W47" s="1"/>
      <c r="X47" s="1"/>
      <c r="Y47" s="1"/>
      <c r="Z47" s="1"/>
    </row>
    <row r="48" spans="1:26" ht="15.75" customHeight="1">
      <c r="A48" s="67">
        <v>43</v>
      </c>
      <c r="B48" s="10" t="s">
        <v>76</v>
      </c>
      <c r="C48" s="10" t="s">
        <v>78</v>
      </c>
      <c r="D48" s="10" t="s">
        <v>30</v>
      </c>
      <c r="E48" s="10"/>
      <c r="F48" s="10"/>
      <c r="G48" s="10"/>
      <c r="H48" s="12" t="s">
        <v>99</v>
      </c>
      <c r="I48" s="10">
        <v>59</v>
      </c>
      <c r="J48" s="10">
        <v>65</v>
      </c>
      <c r="K48" s="10">
        <v>71</v>
      </c>
      <c r="L48" s="10">
        <v>83</v>
      </c>
      <c r="M48" s="10">
        <v>118</v>
      </c>
      <c r="N48" s="10">
        <v>130</v>
      </c>
      <c r="O48" s="10">
        <v>147</v>
      </c>
      <c r="P48" s="10">
        <v>177</v>
      </c>
      <c r="Q48" s="10">
        <v>177</v>
      </c>
      <c r="R48" s="10">
        <v>20</v>
      </c>
      <c r="S48" s="10">
        <v>47</v>
      </c>
      <c r="T48" s="1"/>
      <c r="U48" s="1"/>
      <c r="V48" s="1"/>
      <c r="W48" s="1"/>
      <c r="X48" s="1"/>
      <c r="Y48" s="1"/>
      <c r="Z48" s="1"/>
    </row>
    <row r="49" spans="1:26" ht="15.75" customHeight="1">
      <c r="A49" s="67">
        <v>44</v>
      </c>
      <c r="B49" s="10" t="s">
        <v>22</v>
      </c>
      <c r="C49" s="10" t="s">
        <v>100</v>
      </c>
      <c r="D49" s="10" t="s">
        <v>101</v>
      </c>
      <c r="E49" s="11"/>
      <c r="F49" s="10"/>
      <c r="G49" s="10"/>
      <c r="H49" s="12" t="s">
        <v>102</v>
      </c>
      <c r="I49" s="10">
        <v>41</v>
      </c>
      <c r="J49" s="10">
        <v>47</v>
      </c>
      <c r="K49" s="10">
        <v>47</v>
      </c>
      <c r="L49" s="10">
        <v>59</v>
      </c>
      <c r="M49" s="10">
        <v>130</v>
      </c>
      <c r="N49" s="10">
        <v>147</v>
      </c>
      <c r="O49" s="10">
        <v>177</v>
      </c>
      <c r="P49" s="10">
        <v>206</v>
      </c>
      <c r="Q49" s="10">
        <v>206</v>
      </c>
      <c r="R49" s="10">
        <v>20</v>
      </c>
      <c r="S49" s="10">
        <v>47</v>
      </c>
      <c r="T49" s="1"/>
      <c r="U49" s="1"/>
      <c r="V49" s="1"/>
      <c r="W49" s="1"/>
      <c r="X49" s="1"/>
      <c r="Y49" s="1"/>
      <c r="Z49" s="1"/>
    </row>
    <row r="50" spans="1:26" ht="15.75" customHeight="1">
      <c r="A50" s="67">
        <v>45</v>
      </c>
      <c r="B50" s="10" t="s">
        <v>22</v>
      </c>
      <c r="C50" s="10" t="s">
        <v>103</v>
      </c>
      <c r="D50" s="10" t="s">
        <v>101</v>
      </c>
      <c r="E50" s="11"/>
      <c r="F50" s="10"/>
      <c r="G50" s="10"/>
      <c r="H50" s="12" t="s">
        <v>104</v>
      </c>
      <c r="I50" s="10">
        <v>41</v>
      </c>
      <c r="J50" s="10">
        <v>47</v>
      </c>
      <c r="K50" s="10">
        <v>47</v>
      </c>
      <c r="L50" s="10">
        <v>59</v>
      </c>
      <c r="M50" s="10">
        <v>130</v>
      </c>
      <c r="N50" s="10">
        <v>147</v>
      </c>
      <c r="O50" s="10">
        <v>177</v>
      </c>
      <c r="P50" s="10">
        <v>206</v>
      </c>
      <c r="Q50" s="10">
        <v>206</v>
      </c>
      <c r="R50" s="10">
        <v>20</v>
      </c>
      <c r="S50" s="10">
        <v>47</v>
      </c>
      <c r="T50" s="1"/>
      <c r="U50" s="1"/>
      <c r="V50" s="1"/>
      <c r="W50" s="1"/>
      <c r="X50" s="1"/>
      <c r="Y50" s="1"/>
      <c r="Z50" s="1"/>
    </row>
    <row r="51" spans="1:26" ht="15.75" customHeight="1">
      <c r="A51" s="67">
        <v>46</v>
      </c>
      <c r="B51" s="10" t="s">
        <v>22</v>
      </c>
      <c r="C51" s="10" t="s">
        <v>105</v>
      </c>
      <c r="D51" s="10" t="s">
        <v>101</v>
      </c>
      <c r="E51" s="11"/>
      <c r="F51" s="10"/>
      <c r="G51" s="10"/>
      <c r="H51" s="12" t="s">
        <v>106</v>
      </c>
      <c r="I51" s="10">
        <v>41</v>
      </c>
      <c r="J51" s="10">
        <v>47</v>
      </c>
      <c r="K51" s="10">
        <v>47</v>
      </c>
      <c r="L51" s="10">
        <v>59</v>
      </c>
      <c r="M51" s="10">
        <v>130</v>
      </c>
      <c r="N51" s="10">
        <v>147</v>
      </c>
      <c r="O51" s="10">
        <v>177</v>
      </c>
      <c r="P51" s="10">
        <v>206</v>
      </c>
      <c r="Q51" s="10">
        <v>206</v>
      </c>
      <c r="R51" s="10">
        <v>20</v>
      </c>
      <c r="S51" s="10">
        <v>47</v>
      </c>
      <c r="T51" s="1"/>
      <c r="U51" s="1"/>
      <c r="V51" s="1"/>
      <c r="W51" s="1"/>
      <c r="X51" s="1"/>
      <c r="Y51" s="1"/>
      <c r="Z51" s="1"/>
    </row>
    <row r="52" spans="1:26" ht="15.75" customHeight="1">
      <c r="A52" s="67">
        <v>47</v>
      </c>
      <c r="B52" s="10" t="s">
        <v>22</v>
      </c>
      <c r="C52" s="10" t="s">
        <v>107</v>
      </c>
      <c r="D52" s="10" t="s">
        <v>101</v>
      </c>
      <c r="E52" s="11"/>
      <c r="F52" s="10"/>
      <c r="G52" s="10"/>
      <c r="H52" s="12" t="s">
        <v>108</v>
      </c>
      <c r="I52" s="10">
        <v>41</v>
      </c>
      <c r="J52" s="10">
        <v>47</v>
      </c>
      <c r="K52" s="10">
        <v>47</v>
      </c>
      <c r="L52" s="10">
        <v>59</v>
      </c>
      <c r="M52" s="10">
        <v>130</v>
      </c>
      <c r="N52" s="10">
        <v>147</v>
      </c>
      <c r="O52" s="10">
        <v>177</v>
      </c>
      <c r="P52" s="10">
        <v>206</v>
      </c>
      <c r="Q52" s="10">
        <v>206</v>
      </c>
      <c r="R52" s="10">
        <v>20</v>
      </c>
      <c r="S52" s="10">
        <v>47</v>
      </c>
      <c r="T52" s="1"/>
      <c r="U52" s="1"/>
      <c r="V52" s="1"/>
      <c r="W52" s="1"/>
      <c r="X52" s="1"/>
      <c r="Y52" s="1"/>
      <c r="Z52" s="1"/>
    </row>
    <row r="53" spans="1:26" ht="15.75" customHeight="1">
      <c r="A53" s="67">
        <v>48</v>
      </c>
      <c r="B53" s="10" t="s">
        <v>22</v>
      </c>
      <c r="C53" s="10" t="s">
        <v>109</v>
      </c>
      <c r="D53" s="10" t="s">
        <v>101</v>
      </c>
      <c r="E53" s="11"/>
      <c r="F53" s="10"/>
      <c r="G53" s="10"/>
      <c r="H53" s="12" t="s">
        <v>110</v>
      </c>
      <c r="I53" s="10">
        <v>41</v>
      </c>
      <c r="J53" s="10">
        <v>47</v>
      </c>
      <c r="K53" s="10">
        <v>47</v>
      </c>
      <c r="L53" s="10">
        <v>59</v>
      </c>
      <c r="M53" s="10">
        <v>130</v>
      </c>
      <c r="N53" s="10">
        <v>147</v>
      </c>
      <c r="O53" s="10">
        <v>177</v>
      </c>
      <c r="P53" s="10">
        <v>206</v>
      </c>
      <c r="Q53" s="10">
        <v>206</v>
      </c>
      <c r="R53" s="10">
        <v>20</v>
      </c>
      <c r="S53" s="10">
        <v>47</v>
      </c>
      <c r="T53" s="1"/>
      <c r="U53" s="1"/>
      <c r="V53" s="1"/>
      <c r="W53" s="1"/>
      <c r="X53" s="1"/>
      <c r="Y53" s="1"/>
      <c r="Z53" s="1"/>
    </row>
    <row r="54" spans="1:26" ht="15.75" customHeight="1">
      <c r="A54" s="67">
        <v>49</v>
      </c>
      <c r="B54" s="10" t="s">
        <v>22</v>
      </c>
      <c r="C54" s="10" t="s">
        <v>111</v>
      </c>
      <c r="D54" s="10" t="s">
        <v>101</v>
      </c>
      <c r="E54" s="11"/>
      <c r="F54" s="10"/>
      <c r="G54" s="10"/>
      <c r="H54" s="12" t="s">
        <v>112</v>
      </c>
      <c r="I54" s="10">
        <v>36</v>
      </c>
      <c r="J54" s="10">
        <v>41</v>
      </c>
      <c r="K54" s="10">
        <v>47</v>
      </c>
      <c r="L54" s="10">
        <v>59</v>
      </c>
      <c r="M54" s="10">
        <v>189</v>
      </c>
      <c r="N54" s="10">
        <v>147</v>
      </c>
      <c r="O54" s="10">
        <v>177</v>
      </c>
      <c r="P54" s="10">
        <v>206</v>
      </c>
      <c r="Q54" s="10">
        <v>206</v>
      </c>
      <c r="R54" s="10">
        <v>20</v>
      </c>
      <c r="S54" s="10">
        <v>47</v>
      </c>
      <c r="T54" s="1"/>
      <c r="U54" s="1"/>
      <c r="V54" s="1"/>
      <c r="W54" s="1"/>
      <c r="X54" s="1"/>
      <c r="Y54" s="1"/>
      <c r="Z54" s="1"/>
    </row>
    <row r="55" spans="1:26" ht="15.75" customHeight="1">
      <c r="A55" s="67">
        <v>50</v>
      </c>
      <c r="B55" s="10" t="s">
        <v>22</v>
      </c>
      <c r="C55" s="10" t="s">
        <v>113</v>
      </c>
      <c r="D55" s="10" t="s">
        <v>101</v>
      </c>
      <c r="E55" s="11"/>
      <c r="F55" s="10"/>
      <c r="G55" s="10"/>
      <c r="H55" s="12" t="s">
        <v>114</v>
      </c>
      <c r="I55" s="10">
        <v>41</v>
      </c>
      <c r="J55" s="10">
        <v>41</v>
      </c>
      <c r="K55" s="10">
        <v>47</v>
      </c>
      <c r="L55" s="10">
        <v>59</v>
      </c>
      <c r="M55" s="10">
        <v>153</v>
      </c>
      <c r="N55" s="10">
        <v>177</v>
      </c>
      <c r="O55" s="10">
        <v>206</v>
      </c>
      <c r="P55" s="10">
        <v>236</v>
      </c>
      <c r="Q55" s="10">
        <v>236</v>
      </c>
      <c r="R55" s="10">
        <v>20</v>
      </c>
      <c r="S55" s="10">
        <v>47</v>
      </c>
      <c r="T55" s="1"/>
      <c r="U55" s="1"/>
      <c r="V55" s="1"/>
      <c r="W55" s="1"/>
      <c r="X55" s="1"/>
      <c r="Y55" s="1"/>
      <c r="Z55" s="1"/>
    </row>
    <row r="56" spans="1:26" ht="15.75" customHeight="1">
      <c r="A56" s="67">
        <v>51</v>
      </c>
      <c r="B56" s="10" t="s">
        <v>22</v>
      </c>
      <c r="C56" s="10" t="s">
        <v>115</v>
      </c>
      <c r="D56" s="10" t="s">
        <v>101</v>
      </c>
      <c r="E56" s="11"/>
      <c r="F56" s="10"/>
      <c r="G56" s="10"/>
      <c r="H56" s="12" t="s">
        <v>116</v>
      </c>
      <c r="I56" s="10">
        <v>41</v>
      </c>
      <c r="J56" s="10">
        <v>47</v>
      </c>
      <c r="K56" s="10">
        <v>47</v>
      </c>
      <c r="L56" s="10">
        <v>59</v>
      </c>
      <c r="M56" s="10">
        <v>130</v>
      </c>
      <c r="N56" s="10">
        <v>147</v>
      </c>
      <c r="O56" s="10">
        <v>177</v>
      </c>
      <c r="P56" s="10">
        <v>206</v>
      </c>
      <c r="Q56" s="10">
        <v>206</v>
      </c>
      <c r="R56" s="10">
        <v>20</v>
      </c>
      <c r="S56" s="10">
        <v>47</v>
      </c>
      <c r="T56" s="1"/>
      <c r="U56" s="1"/>
      <c r="V56" s="1"/>
      <c r="W56" s="1"/>
      <c r="X56" s="1"/>
      <c r="Y56" s="1"/>
      <c r="Z56" s="1"/>
    </row>
    <row r="57" spans="1:26" ht="15.75" customHeight="1">
      <c r="A57" s="67">
        <v>52</v>
      </c>
      <c r="B57" s="10" t="s">
        <v>22</v>
      </c>
      <c r="C57" s="10" t="s">
        <v>117</v>
      </c>
      <c r="D57" s="10" t="s">
        <v>101</v>
      </c>
      <c r="E57" s="11"/>
      <c r="F57" s="10"/>
      <c r="G57" s="10"/>
      <c r="H57" s="12" t="s">
        <v>118</v>
      </c>
      <c r="I57" s="10">
        <v>41</v>
      </c>
      <c r="J57" s="10">
        <v>32</v>
      </c>
      <c r="K57" s="10">
        <v>29</v>
      </c>
      <c r="L57" s="10">
        <v>31</v>
      </c>
      <c r="M57" s="10">
        <v>130</v>
      </c>
      <c r="N57" s="10">
        <v>147</v>
      </c>
      <c r="O57" s="10">
        <v>177</v>
      </c>
      <c r="P57" s="10">
        <v>206</v>
      </c>
      <c r="Q57" s="10">
        <v>206</v>
      </c>
      <c r="R57" s="10">
        <v>20</v>
      </c>
      <c r="S57" s="10">
        <v>47</v>
      </c>
      <c r="T57" s="1"/>
      <c r="U57" s="1"/>
      <c r="V57" s="1"/>
      <c r="W57" s="1"/>
      <c r="X57" s="1"/>
      <c r="Y57" s="1"/>
      <c r="Z57" s="1"/>
    </row>
    <row r="58" spans="1:26" ht="15.75" customHeight="1">
      <c r="A58" s="67">
        <v>53</v>
      </c>
      <c r="B58" s="10" t="s">
        <v>22</v>
      </c>
      <c r="C58" s="10" t="s">
        <v>119</v>
      </c>
      <c r="D58" s="10" t="s">
        <v>101</v>
      </c>
      <c r="E58" s="11"/>
      <c r="F58" s="10"/>
      <c r="G58" s="10"/>
      <c r="H58" s="12" t="s">
        <v>120</v>
      </c>
      <c r="I58" s="10">
        <v>41</v>
      </c>
      <c r="J58" s="10">
        <v>47</v>
      </c>
      <c r="K58" s="10">
        <v>47</v>
      </c>
      <c r="L58" s="10">
        <v>59</v>
      </c>
      <c r="M58" s="10">
        <v>130</v>
      </c>
      <c r="N58" s="10">
        <v>147</v>
      </c>
      <c r="O58" s="10">
        <v>177</v>
      </c>
      <c r="P58" s="10">
        <v>206</v>
      </c>
      <c r="Q58" s="10">
        <v>206</v>
      </c>
      <c r="R58" s="10">
        <v>20</v>
      </c>
      <c r="S58" s="10">
        <v>47</v>
      </c>
      <c r="T58" s="1"/>
      <c r="U58" s="1"/>
      <c r="V58" s="1"/>
      <c r="W58" s="1"/>
      <c r="X58" s="1"/>
      <c r="Y58" s="1"/>
      <c r="Z58" s="1"/>
    </row>
    <row r="59" spans="1:26" ht="15.75" customHeight="1">
      <c r="A59" s="67">
        <v>54</v>
      </c>
      <c r="B59" s="10" t="s">
        <v>22</v>
      </c>
      <c r="C59" s="10" t="s">
        <v>121</v>
      </c>
      <c r="D59" s="10" t="s">
        <v>101</v>
      </c>
      <c r="E59" s="11"/>
      <c r="F59" s="10"/>
      <c r="G59" s="10"/>
      <c r="H59" s="12" t="s">
        <v>122</v>
      </c>
      <c r="I59" s="10">
        <v>41</v>
      </c>
      <c r="J59" s="10">
        <v>47</v>
      </c>
      <c r="K59" s="10">
        <v>47</v>
      </c>
      <c r="L59" s="10">
        <v>59</v>
      </c>
      <c r="M59" s="10">
        <v>130</v>
      </c>
      <c r="N59" s="10">
        <v>147</v>
      </c>
      <c r="O59" s="10">
        <v>177</v>
      </c>
      <c r="P59" s="10">
        <v>206</v>
      </c>
      <c r="Q59" s="10">
        <v>206</v>
      </c>
      <c r="R59" s="10">
        <v>20</v>
      </c>
      <c r="S59" s="10">
        <v>47</v>
      </c>
      <c r="T59" s="1"/>
      <c r="U59" s="1"/>
      <c r="V59" s="1"/>
      <c r="W59" s="1"/>
      <c r="X59" s="1"/>
      <c r="Y59" s="1"/>
      <c r="Z59" s="1"/>
    </row>
    <row r="60" spans="1:26" ht="15.75" customHeight="1">
      <c r="A60" s="67">
        <v>55</v>
      </c>
      <c r="B60" s="10" t="s">
        <v>22</v>
      </c>
      <c r="C60" s="10" t="s">
        <v>123</v>
      </c>
      <c r="D60" s="10" t="s">
        <v>101</v>
      </c>
      <c r="E60" s="11"/>
      <c r="F60" s="10"/>
      <c r="G60" s="10"/>
      <c r="H60" s="12" t="s">
        <v>124</v>
      </c>
      <c r="I60" s="10">
        <v>41</v>
      </c>
      <c r="J60" s="10">
        <v>47</v>
      </c>
      <c r="K60" s="10">
        <v>47</v>
      </c>
      <c r="L60" s="10">
        <v>59</v>
      </c>
      <c r="M60" s="10">
        <v>130</v>
      </c>
      <c r="N60" s="10">
        <v>147</v>
      </c>
      <c r="O60" s="10">
        <v>177</v>
      </c>
      <c r="P60" s="10">
        <v>206</v>
      </c>
      <c r="Q60" s="10">
        <v>206</v>
      </c>
      <c r="R60" s="10">
        <v>20</v>
      </c>
      <c r="S60" s="10">
        <v>47</v>
      </c>
      <c r="T60" s="1"/>
      <c r="U60" s="1"/>
      <c r="V60" s="1"/>
      <c r="W60" s="1"/>
      <c r="X60" s="1"/>
      <c r="Y60" s="1"/>
      <c r="Z60" s="1"/>
    </row>
    <row r="61" spans="1:26" ht="15.75" customHeight="1">
      <c r="A61" s="67">
        <v>56</v>
      </c>
      <c r="B61" s="10" t="s">
        <v>22</v>
      </c>
      <c r="C61" s="10" t="s">
        <v>125</v>
      </c>
      <c r="D61" s="10" t="s">
        <v>101</v>
      </c>
      <c r="E61" s="11"/>
      <c r="F61" s="10"/>
      <c r="G61" s="10"/>
      <c r="H61" s="12" t="s">
        <v>126</v>
      </c>
      <c r="I61" s="10">
        <v>41</v>
      </c>
      <c r="J61" s="10">
        <v>47</v>
      </c>
      <c r="K61" s="10">
        <v>47</v>
      </c>
      <c r="L61" s="10">
        <v>59</v>
      </c>
      <c r="M61" s="10">
        <v>130</v>
      </c>
      <c r="N61" s="10">
        <v>147</v>
      </c>
      <c r="O61" s="10">
        <v>177</v>
      </c>
      <c r="P61" s="10">
        <v>206</v>
      </c>
      <c r="Q61" s="10">
        <v>206</v>
      </c>
      <c r="R61" s="10">
        <v>20</v>
      </c>
      <c r="S61" s="10">
        <v>47</v>
      </c>
      <c r="T61" s="1"/>
      <c r="U61" s="1"/>
      <c r="V61" s="1"/>
      <c r="W61" s="1"/>
      <c r="X61" s="1"/>
      <c r="Y61" s="1"/>
      <c r="Z61" s="1"/>
    </row>
    <row r="62" spans="1:26" ht="15.75" customHeight="1">
      <c r="A62" s="67">
        <v>57</v>
      </c>
      <c r="B62" s="10" t="s">
        <v>22</v>
      </c>
      <c r="C62" s="10" t="s">
        <v>127</v>
      </c>
      <c r="D62" s="10" t="s">
        <v>101</v>
      </c>
      <c r="E62" s="11"/>
      <c r="F62" s="10"/>
      <c r="G62" s="10"/>
      <c r="H62" s="12" t="s">
        <v>128</v>
      </c>
      <c r="I62" s="10">
        <v>41</v>
      </c>
      <c r="J62" s="10">
        <v>47</v>
      </c>
      <c r="K62" s="10">
        <v>47</v>
      </c>
      <c r="L62" s="10">
        <v>59</v>
      </c>
      <c r="M62" s="10">
        <v>118</v>
      </c>
      <c r="N62" s="10">
        <v>147</v>
      </c>
      <c r="O62" s="10">
        <v>177</v>
      </c>
      <c r="P62" s="10">
        <v>206</v>
      </c>
      <c r="Q62" s="10">
        <v>206</v>
      </c>
      <c r="R62" s="10">
        <v>20</v>
      </c>
      <c r="S62" s="10">
        <v>47</v>
      </c>
      <c r="T62" s="1"/>
      <c r="U62" s="1"/>
      <c r="V62" s="1"/>
      <c r="W62" s="1"/>
      <c r="X62" s="1"/>
      <c r="Y62" s="1"/>
      <c r="Z62" s="1"/>
    </row>
    <row r="63" spans="1:26" ht="15.75" customHeight="1">
      <c r="A63" s="67">
        <v>58</v>
      </c>
      <c r="B63" s="10" t="s">
        <v>22</v>
      </c>
      <c r="C63" s="10" t="s">
        <v>129</v>
      </c>
      <c r="D63" s="10" t="s">
        <v>101</v>
      </c>
      <c r="E63" s="11"/>
      <c r="F63" s="10"/>
      <c r="G63" s="10"/>
      <c r="H63" s="12" t="s">
        <v>130</v>
      </c>
      <c r="I63" s="10">
        <v>41</v>
      </c>
      <c r="J63" s="10">
        <v>47</v>
      </c>
      <c r="K63" s="10">
        <v>47</v>
      </c>
      <c r="L63" s="10">
        <v>59</v>
      </c>
      <c r="M63" s="10">
        <v>118</v>
      </c>
      <c r="N63" s="10">
        <v>147</v>
      </c>
      <c r="O63" s="10">
        <v>177</v>
      </c>
      <c r="P63" s="10">
        <v>206</v>
      </c>
      <c r="Q63" s="10">
        <v>206</v>
      </c>
      <c r="R63" s="10">
        <v>20</v>
      </c>
      <c r="S63" s="10">
        <v>47</v>
      </c>
      <c r="T63" s="1"/>
      <c r="U63" s="1"/>
      <c r="V63" s="1"/>
      <c r="W63" s="1"/>
      <c r="X63" s="1"/>
      <c r="Y63" s="1"/>
      <c r="Z63" s="1"/>
    </row>
    <row r="64" spans="1:26" ht="15.75" customHeight="1">
      <c r="A64" s="67">
        <v>59</v>
      </c>
      <c r="B64" s="10" t="s">
        <v>22</v>
      </c>
      <c r="C64" s="10" t="s">
        <v>131</v>
      </c>
      <c r="D64" s="10" t="s">
        <v>101</v>
      </c>
      <c r="E64" s="11"/>
      <c r="F64" s="10"/>
      <c r="G64" s="10"/>
      <c r="H64" s="12" t="s">
        <v>132</v>
      </c>
      <c r="I64" s="10">
        <v>41</v>
      </c>
      <c r="J64" s="10">
        <v>47</v>
      </c>
      <c r="K64" s="10">
        <v>47</v>
      </c>
      <c r="L64" s="10">
        <v>59</v>
      </c>
      <c r="M64" s="10">
        <v>118</v>
      </c>
      <c r="N64" s="10">
        <v>147</v>
      </c>
      <c r="O64" s="10">
        <v>177</v>
      </c>
      <c r="P64" s="10">
        <v>206</v>
      </c>
      <c r="Q64" s="10">
        <v>206</v>
      </c>
      <c r="R64" s="10">
        <v>20</v>
      </c>
      <c r="S64" s="10">
        <v>47</v>
      </c>
      <c r="T64" s="1"/>
      <c r="U64" s="1"/>
      <c r="V64" s="1"/>
      <c r="W64" s="1"/>
      <c r="X64" s="1"/>
      <c r="Y64" s="1"/>
      <c r="Z64" s="1"/>
    </row>
    <row r="65" spans="1:26" ht="15.75" customHeight="1">
      <c r="A65" s="67">
        <v>60</v>
      </c>
      <c r="B65" s="10" t="s">
        <v>22</v>
      </c>
      <c r="C65" s="10" t="s">
        <v>133</v>
      </c>
      <c r="D65" s="10" t="s">
        <v>101</v>
      </c>
      <c r="E65" s="11"/>
      <c r="F65" s="10"/>
      <c r="G65" s="10"/>
      <c r="H65" s="12" t="s">
        <v>134</v>
      </c>
      <c r="I65" s="10">
        <v>41</v>
      </c>
      <c r="J65" s="10">
        <v>47</v>
      </c>
      <c r="K65" s="10">
        <v>47</v>
      </c>
      <c r="L65" s="10">
        <v>59</v>
      </c>
      <c r="M65" s="10">
        <v>118</v>
      </c>
      <c r="N65" s="10">
        <v>147</v>
      </c>
      <c r="O65" s="10">
        <v>177</v>
      </c>
      <c r="P65" s="10">
        <v>206</v>
      </c>
      <c r="Q65" s="10">
        <v>206</v>
      </c>
      <c r="R65" s="10">
        <v>20</v>
      </c>
      <c r="S65" s="10">
        <v>47</v>
      </c>
      <c r="T65" s="1"/>
      <c r="U65" s="1"/>
      <c r="V65" s="1"/>
      <c r="W65" s="1"/>
      <c r="X65" s="1"/>
      <c r="Y65" s="1"/>
      <c r="Z65" s="1"/>
    </row>
    <row r="66" spans="1:26" ht="15.75" customHeight="1">
      <c r="A66" s="67">
        <v>61</v>
      </c>
      <c r="B66" s="10" t="s">
        <v>22</v>
      </c>
      <c r="C66" s="10" t="s">
        <v>135</v>
      </c>
      <c r="D66" s="10" t="s">
        <v>101</v>
      </c>
      <c r="E66" s="11"/>
      <c r="F66" s="10"/>
      <c r="G66" s="10"/>
      <c r="H66" s="12" t="s">
        <v>136</v>
      </c>
      <c r="I66" s="10">
        <v>41</v>
      </c>
      <c r="J66" s="10">
        <v>47</v>
      </c>
      <c r="K66" s="10">
        <v>47</v>
      </c>
      <c r="L66" s="10">
        <v>59</v>
      </c>
      <c r="M66" s="10">
        <v>118</v>
      </c>
      <c r="N66" s="10">
        <v>147</v>
      </c>
      <c r="O66" s="10">
        <v>177</v>
      </c>
      <c r="P66" s="10">
        <v>206</v>
      </c>
      <c r="Q66" s="10">
        <v>206</v>
      </c>
      <c r="R66" s="10">
        <v>20</v>
      </c>
      <c r="S66" s="10">
        <v>47</v>
      </c>
      <c r="T66" s="1"/>
      <c r="U66" s="1"/>
      <c r="V66" s="1"/>
      <c r="W66" s="1"/>
      <c r="X66" s="1"/>
      <c r="Y66" s="1"/>
      <c r="Z66" s="1"/>
    </row>
    <row r="67" spans="1:26" ht="15.75" customHeight="1">
      <c r="A67" s="67">
        <v>62</v>
      </c>
      <c r="B67" s="10" t="s">
        <v>22</v>
      </c>
      <c r="C67" s="10" t="s">
        <v>137</v>
      </c>
      <c r="D67" s="10" t="s">
        <v>101</v>
      </c>
      <c r="E67" s="11"/>
      <c r="F67" s="10"/>
      <c r="G67" s="10"/>
      <c r="H67" s="12" t="s">
        <v>138</v>
      </c>
      <c r="I67" s="10">
        <v>30</v>
      </c>
      <c r="J67" s="10">
        <v>36</v>
      </c>
      <c r="K67" s="10">
        <v>41</v>
      </c>
      <c r="L67" s="10">
        <v>53</v>
      </c>
      <c r="M67" s="10">
        <v>130</v>
      </c>
      <c r="N67" s="10">
        <v>147</v>
      </c>
      <c r="O67" s="10">
        <v>177</v>
      </c>
      <c r="P67" s="10">
        <v>206</v>
      </c>
      <c r="Q67" s="10">
        <v>206</v>
      </c>
      <c r="R67" s="10">
        <v>20</v>
      </c>
      <c r="S67" s="10">
        <v>47</v>
      </c>
      <c r="T67" s="1"/>
      <c r="U67" s="1"/>
      <c r="V67" s="1"/>
      <c r="W67" s="1"/>
      <c r="X67" s="1"/>
      <c r="Y67" s="1"/>
      <c r="Z67" s="1"/>
    </row>
    <row r="68" spans="1:26" ht="15.75" customHeight="1">
      <c r="A68" s="67">
        <v>63</v>
      </c>
      <c r="B68" s="10" t="s">
        <v>22</v>
      </c>
      <c r="C68" s="10" t="s">
        <v>139</v>
      </c>
      <c r="D68" s="10" t="s">
        <v>101</v>
      </c>
      <c r="E68" s="11"/>
      <c r="F68" s="10"/>
      <c r="G68" s="10"/>
      <c r="H68" s="12" t="s">
        <v>140</v>
      </c>
      <c r="I68" s="10">
        <v>41</v>
      </c>
      <c r="J68" s="10">
        <v>47</v>
      </c>
      <c r="K68" s="10">
        <v>47</v>
      </c>
      <c r="L68" s="10">
        <v>59</v>
      </c>
      <c r="M68" s="10">
        <v>118</v>
      </c>
      <c r="N68" s="10">
        <v>147</v>
      </c>
      <c r="O68" s="10">
        <v>177</v>
      </c>
      <c r="P68" s="10">
        <v>206</v>
      </c>
      <c r="Q68" s="10">
        <v>206</v>
      </c>
      <c r="R68" s="10">
        <v>20</v>
      </c>
      <c r="S68" s="10">
        <v>47</v>
      </c>
      <c r="T68" s="1"/>
      <c r="U68" s="1"/>
      <c r="V68" s="1"/>
      <c r="W68" s="1"/>
      <c r="X68" s="1"/>
      <c r="Y68" s="1"/>
      <c r="Z68" s="1"/>
    </row>
    <row r="69" spans="1:26" ht="15.75" customHeight="1">
      <c r="A69" s="67">
        <v>64</v>
      </c>
      <c r="B69" s="10" t="s">
        <v>22</v>
      </c>
      <c r="C69" s="10" t="s">
        <v>141</v>
      </c>
      <c r="D69" s="10" t="s">
        <v>101</v>
      </c>
      <c r="E69" s="11"/>
      <c r="F69" s="10"/>
      <c r="G69" s="10"/>
      <c r="H69" s="12" t="s">
        <v>142</v>
      </c>
      <c r="I69" s="10">
        <v>29</v>
      </c>
      <c r="J69" s="10">
        <v>32</v>
      </c>
      <c r="K69" s="10">
        <v>29</v>
      </c>
      <c r="L69" s="10">
        <v>31</v>
      </c>
      <c r="M69" s="10">
        <v>118</v>
      </c>
      <c r="N69" s="10">
        <v>147</v>
      </c>
      <c r="O69" s="10">
        <v>177</v>
      </c>
      <c r="P69" s="10">
        <v>206</v>
      </c>
      <c r="Q69" s="10">
        <v>206</v>
      </c>
      <c r="R69" s="10">
        <v>20</v>
      </c>
      <c r="S69" s="10">
        <v>47</v>
      </c>
      <c r="T69" s="1"/>
      <c r="U69" s="1"/>
      <c r="V69" s="1"/>
      <c r="W69" s="1"/>
      <c r="X69" s="1"/>
      <c r="Y69" s="1"/>
      <c r="Z69" s="1"/>
    </row>
    <row r="70" spans="1:26" ht="15.75" customHeight="1">
      <c r="A70" s="67">
        <v>65</v>
      </c>
      <c r="B70" s="10" t="s">
        <v>22</v>
      </c>
      <c r="C70" s="10" t="s">
        <v>143</v>
      </c>
      <c r="D70" s="10" t="s">
        <v>101</v>
      </c>
      <c r="E70" s="11"/>
      <c r="F70" s="10"/>
      <c r="G70" s="10"/>
      <c r="H70" s="12" t="s">
        <v>144</v>
      </c>
      <c r="I70" s="10">
        <v>41</v>
      </c>
      <c r="J70" s="10">
        <v>47</v>
      </c>
      <c r="K70" s="10">
        <v>47</v>
      </c>
      <c r="L70" s="10">
        <v>59</v>
      </c>
      <c r="M70" s="10">
        <v>118</v>
      </c>
      <c r="N70" s="10">
        <v>147</v>
      </c>
      <c r="O70" s="10">
        <v>177</v>
      </c>
      <c r="P70" s="10">
        <v>206</v>
      </c>
      <c r="Q70" s="10">
        <v>206</v>
      </c>
      <c r="R70" s="10">
        <v>20</v>
      </c>
      <c r="S70" s="10">
        <v>47</v>
      </c>
      <c r="T70" s="1"/>
      <c r="U70" s="1"/>
      <c r="V70" s="1"/>
      <c r="W70" s="1"/>
      <c r="X70" s="1"/>
      <c r="Y70" s="1"/>
      <c r="Z70" s="1"/>
    </row>
    <row r="71" spans="1:26" ht="15.75" customHeight="1">
      <c r="A71" s="67">
        <v>66</v>
      </c>
      <c r="B71" s="10" t="s">
        <v>22</v>
      </c>
      <c r="C71" s="10" t="s">
        <v>145</v>
      </c>
      <c r="D71" s="10" t="s">
        <v>101</v>
      </c>
      <c r="E71" s="11"/>
      <c r="F71" s="10"/>
      <c r="G71" s="10"/>
      <c r="H71" s="12" t="s">
        <v>146</v>
      </c>
      <c r="I71" s="10">
        <v>41</v>
      </c>
      <c r="J71" s="10">
        <v>47</v>
      </c>
      <c r="K71" s="10">
        <v>47</v>
      </c>
      <c r="L71" s="10">
        <v>59</v>
      </c>
      <c r="M71" s="10">
        <v>118</v>
      </c>
      <c r="N71" s="10">
        <v>147</v>
      </c>
      <c r="O71" s="10">
        <v>177</v>
      </c>
      <c r="P71" s="10">
        <v>206</v>
      </c>
      <c r="Q71" s="10">
        <v>206</v>
      </c>
      <c r="R71" s="10">
        <v>20</v>
      </c>
      <c r="S71" s="10">
        <v>47</v>
      </c>
      <c r="T71" s="1"/>
      <c r="U71" s="1"/>
      <c r="V71" s="1"/>
      <c r="W71" s="1"/>
      <c r="X71" s="1"/>
      <c r="Y71" s="1"/>
      <c r="Z71" s="1"/>
    </row>
    <row r="72" spans="1:26" ht="15.75" customHeight="1">
      <c r="A72" s="67">
        <v>67</v>
      </c>
      <c r="B72" s="10" t="s">
        <v>22</v>
      </c>
      <c r="C72" s="10" t="s">
        <v>147</v>
      </c>
      <c r="D72" s="10" t="s">
        <v>101</v>
      </c>
      <c r="E72" s="11"/>
      <c r="F72" s="10"/>
      <c r="G72" s="10"/>
      <c r="H72" s="12" t="s">
        <v>148</v>
      </c>
      <c r="I72" s="10">
        <v>41</v>
      </c>
      <c r="J72" s="10">
        <v>47</v>
      </c>
      <c r="K72" s="10">
        <v>47</v>
      </c>
      <c r="L72" s="10">
        <v>59</v>
      </c>
      <c r="M72" s="10">
        <v>118</v>
      </c>
      <c r="N72" s="10">
        <v>147</v>
      </c>
      <c r="O72" s="10">
        <v>177</v>
      </c>
      <c r="P72" s="10">
        <v>206</v>
      </c>
      <c r="Q72" s="10">
        <v>206</v>
      </c>
      <c r="R72" s="10">
        <v>20</v>
      </c>
      <c r="S72" s="10">
        <v>47</v>
      </c>
      <c r="T72" s="1"/>
      <c r="U72" s="1"/>
      <c r="V72" s="1"/>
      <c r="W72" s="1"/>
      <c r="X72" s="1"/>
      <c r="Y72" s="1"/>
      <c r="Z72" s="1"/>
    </row>
    <row r="73" spans="1:26" ht="15.75" customHeight="1">
      <c r="A73" s="67">
        <v>68</v>
      </c>
      <c r="B73" s="10" t="s">
        <v>22</v>
      </c>
      <c r="C73" s="10" t="s">
        <v>149</v>
      </c>
      <c r="D73" s="10" t="s">
        <v>101</v>
      </c>
      <c r="E73" s="11"/>
      <c r="F73" s="10"/>
      <c r="G73" s="10"/>
      <c r="H73" s="12" t="s">
        <v>150</v>
      </c>
      <c r="I73" s="10">
        <v>41</v>
      </c>
      <c r="J73" s="10">
        <v>47</v>
      </c>
      <c r="K73" s="10">
        <v>47</v>
      </c>
      <c r="L73" s="10">
        <v>59</v>
      </c>
      <c r="M73" s="10">
        <v>118</v>
      </c>
      <c r="N73" s="10">
        <v>147</v>
      </c>
      <c r="O73" s="10">
        <v>177</v>
      </c>
      <c r="P73" s="10">
        <v>206</v>
      </c>
      <c r="Q73" s="10">
        <v>206</v>
      </c>
      <c r="R73" s="10">
        <v>20</v>
      </c>
      <c r="S73" s="10">
        <v>47</v>
      </c>
      <c r="T73" s="1"/>
      <c r="U73" s="1"/>
      <c r="V73" s="1"/>
      <c r="W73" s="1"/>
      <c r="X73" s="1"/>
      <c r="Y73" s="1"/>
      <c r="Z73" s="1"/>
    </row>
    <row r="74" spans="1:26" ht="15.75" customHeight="1">
      <c r="A74" s="67">
        <v>69</v>
      </c>
      <c r="B74" s="10" t="s">
        <v>22</v>
      </c>
      <c r="C74" s="10" t="s">
        <v>151</v>
      </c>
      <c r="D74" s="10" t="s">
        <v>101</v>
      </c>
      <c r="E74" s="11"/>
      <c r="F74" s="10"/>
      <c r="G74" s="10"/>
      <c r="H74" s="12" t="s">
        <v>152</v>
      </c>
      <c r="I74" s="10">
        <v>35</v>
      </c>
      <c r="J74" s="10">
        <v>38</v>
      </c>
      <c r="K74" s="10">
        <v>40</v>
      </c>
      <c r="L74" s="10">
        <v>50</v>
      </c>
      <c r="M74" s="10">
        <v>88</v>
      </c>
      <c r="N74" s="10">
        <v>147</v>
      </c>
      <c r="O74" s="10">
        <v>177</v>
      </c>
      <c r="P74" s="10">
        <v>206</v>
      </c>
      <c r="Q74" s="10">
        <v>206</v>
      </c>
      <c r="R74" s="10">
        <v>20</v>
      </c>
      <c r="S74" s="10">
        <v>47</v>
      </c>
      <c r="T74" s="1"/>
      <c r="U74" s="1"/>
      <c r="V74" s="1"/>
      <c r="W74" s="1"/>
      <c r="X74" s="1"/>
      <c r="Y74" s="1"/>
      <c r="Z74" s="1"/>
    </row>
    <row r="75" spans="1:26" ht="15.75" customHeight="1">
      <c r="A75" s="67">
        <v>70</v>
      </c>
      <c r="B75" s="10" t="s">
        <v>22</v>
      </c>
      <c r="C75" s="10" t="s">
        <v>153</v>
      </c>
      <c r="D75" s="10" t="s">
        <v>101</v>
      </c>
      <c r="E75" s="11"/>
      <c r="F75" s="10"/>
      <c r="G75" s="10"/>
      <c r="H75" s="12" t="s">
        <v>154</v>
      </c>
      <c r="I75" s="10">
        <v>35</v>
      </c>
      <c r="J75" s="10">
        <v>38</v>
      </c>
      <c r="K75" s="10">
        <v>40</v>
      </c>
      <c r="L75" s="10">
        <v>50</v>
      </c>
      <c r="M75" s="10">
        <v>88</v>
      </c>
      <c r="N75" s="10">
        <v>147</v>
      </c>
      <c r="O75" s="10">
        <v>177</v>
      </c>
      <c r="P75" s="10">
        <v>206</v>
      </c>
      <c r="Q75" s="10">
        <v>206</v>
      </c>
      <c r="R75" s="10">
        <v>20</v>
      </c>
      <c r="S75" s="10">
        <v>47</v>
      </c>
      <c r="T75" s="1"/>
      <c r="U75" s="1"/>
      <c r="V75" s="1"/>
      <c r="W75" s="1"/>
      <c r="X75" s="1"/>
      <c r="Y75" s="1"/>
      <c r="Z75" s="1"/>
    </row>
    <row r="76" spans="1:26" ht="15.75" customHeight="1">
      <c r="A76" s="67">
        <v>71</v>
      </c>
      <c r="B76" s="10" t="s">
        <v>22</v>
      </c>
      <c r="C76" s="10" t="s">
        <v>155</v>
      </c>
      <c r="D76" s="10" t="s">
        <v>156</v>
      </c>
      <c r="E76" s="11"/>
      <c r="F76" s="10"/>
      <c r="G76" s="10"/>
      <c r="H76" s="12" t="s">
        <v>157</v>
      </c>
      <c r="I76" s="10">
        <v>35</v>
      </c>
      <c r="J76" s="10">
        <v>38</v>
      </c>
      <c r="K76" s="10">
        <v>40</v>
      </c>
      <c r="L76" s="10">
        <v>50</v>
      </c>
      <c r="M76" s="10">
        <v>88</v>
      </c>
      <c r="N76" s="10">
        <v>147</v>
      </c>
      <c r="O76" s="10">
        <v>177</v>
      </c>
      <c r="P76" s="10">
        <v>206</v>
      </c>
      <c r="Q76" s="10">
        <v>206</v>
      </c>
      <c r="R76" s="10">
        <v>20</v>
      </c>
      <c r="S76" s="10">
        <v>47</v>
      </c>
      <c r="T76" s="1"/>
      <c r="U76" s="1"/>
      <c r="V76" s="1"/>
      <c r="W76" s="1"/>
      <c r="X76" s="1"/>
      <c r="Y76" s="1"/>
      <c r="Z76" s="1"/>
    </row>
    <row r="77" spans="1:26" ht="15.75" customHeight="1">
      <c r="A77" s="67">
        <v>72</v>
      </c>
      <c r="B77" s="10" t="s">
        <v>22</v>
      </c>
      <c r="C77" s="10" t="s">
        <v>158</v>
      </c>
      <c r="D77" s="10" t="s">
        <v>156</v>
      </c>
      <c r="E77" s="11"/>
      <c r="F77" s="10"/>
      <c r="G77" s="10"/>
      <c r="H77" s="12" t="s">
        <v>159</v>
      </c>
      <c r="I77" s="10">
        <v>35</v>
      </c>
      <c r="J77" s="10">
        <v>38</v>
      </c>
      <c r="K77" s="10">
        <v>40</v>
      </c>
      <c r="L77" s="10">
        <v>50</v>
      </c>
      <c r="M77" s="10">
        <v>88</v>
      </c>
      <c r="N77" s="10">
        <v>147</v>
      </c>
      <c r="O77" s="10">
        <v>177</v>
      </c>
      <c r="P77" s="10">
        <v>206</v>
      </c>
      <c r="Q77" s="10">
        <v>206</v>
      </c>
      <c r="R77" s="10">
        <v>20</v>
      </c>
      <c r="S77" s="10">
        <v>47</v>
      </c>
      <c r="T77" s="1"/>
      <c r="U77" s="1"/>
      <c r="V77" s="1"/>
      <c r="W77" s="1"/>
      <c r="X77" s="1"/>
      <c r="Y77" s="1"/>
      <c r="Z77" s="1"/>
    </row>
    <row r="78" spans="1:26" ht="15.75" customHeight="1">
      <c r="A78" s="67">
        <v>73</v>
      </c>
      <c r="B78" s="10" t="s">
        <v>22</v>
      </c>
      <c r="C78" s="10" t="s">
        <v>160</v>
      </c>
      <c r="D78" s="10" t="s">
        <v>156</v>
      </c>
      <c r="E78" s="11"/>
      <c r="F78" s="10"/>
      <c r="G78" s="10"/>
      <c r="H78" s="12" t="s">
        <v>161</v>
      </c>
      <c r="I78" s="10">
        <v>35</v>
      </c>
      <c r="J78" s="10">
        <v>38</v>
      </c>
      <c r="K78" s="10">
        <v>40</v>
      </c>
      <c r="L78" s="10">
        <v>50</v>
      </c>
      <c r="M78" s="10">
        <v>124</v>
      </c>
      <c r="N78" s="10">
        <v>147</v>
      </c>
      <c r="O78" s="10">
        <v>177</v>
      </c>
      <c r="P78" s="10">
        <v>206</v>
      </c>
      <c r="Q78" s="10">
        <v>206</v>
      </c>
      <c r="R78" s="10">
        <v>20</v>
      </c>
      <c r="S78" s="10">
        <v>47</v>
      </c>
      <c r="T78" s="1"/>
      <c r="U78" s="1"/>
      <c r="V78" s="1"/>
      <c r="W78" s="1"/>
      <c r="X78" s="1"/>
      <c r="Y78" s="1"/>
      <c r="Z78" s="1"/>
    </row>
    <row r="79" spans="1:26" ht="15.75" customHeight="1">
      <c r="A79" s="67">
        <v>74</v>
      </c>
      <c r="B79" s="10" t="s">
        <v>22</v>
      </c>
      <c r="C79" s="10" t="s">
        <v>162</v>
      </c>
      <c r="D79" s="10" t="s">
        <v>156</v>
      </c>
      <c r="E79" s="11"/>
      <c r="F79" s="10"/>
      <c r="G79" s="10"/>
      <c r="H79" s="12" t="s">
        <v>163</v>
      </c>
      <c r="I79" s="10">
        <v>35</v>
      </c>
      <c r="J79" s="10">
        <v>38</v>
      </c>
      <c r="K79" s="10">
        <v>40</v>
      </c>
      <c r="L79" s="10">
        <v>50</v>
      </c>
      <c r="M79" s="10">
        <v>88</v>
      </c>
      <c r="N79" s="10">
        <v>147</v>
      </c>
      <c r="O79" s="10">
        <v>177</v>
      </c>
      <c r="P79" s="10">
        <v>206</v>
      </c>
      <c r="Q79" s="10">
        <v>206</v>
      </c>
      <c r="R79" s="10">
        <v>20</v>
      </c>
      <c r="S79" s="10">
        <v>47</v>
      </c>
      <c r="T79" s="1"/>
      <c r="U79" s="1"/>
      <c r="V79" s="1"/>
      <c r="W79" s="1"/>
      <c r="X79" s="1"/>
      <c r="Y79" s="1"/>
      <c r="Z79" s="1"/>
    </row>
    <row r="80" spans="1:26" ht="15.75" customHeight="1">
      <c r="A80" s="67">
        <v>75</v>
      </c>
      <c r="B80" s="10" t="s">
        <v>22</v>
      </c>
      <c r="C80" s="10" t="s">
        <v>164</v>
      </c>
      <c r="D80" s="10" t="s">
        <v>156</v>
      </c>
      <c r="E80" s="11"/>
      <c r="F80" s="10"/>
      <c r="G80" s="10"/>
      <c r="H80" s="12" t="s">
        <v>165</v>
      </c>
      <c r="I80" s="10">
        <v>35</v>
      </c>
      <c r="J80" s="10">
        <v>38</v>
      </c>
      <c r="K80" s="10">
        <v>40</v>
      </c>
      <c r="L80" s="10">
        <v>50</v>
      </c>
      <c r="M80" s="10">
        <v>88</v>
      </c>
      <c r="N80" s="10">
        <v>147</v>
      </c>
      <c r="O80" s="10">
        <v>177</v>
      </c>
      <c r="P80" s="10">
        <v>206</v>
      </c>
      <c r="Q80" s="10">
        <v>206</v>
      </c>
      <c r="R80" s="10">
        <v>20</v>
      </c>
      <c r="S80" s="10">
        <v>47</v>
      </c>
      <c r="T80" s="1"/>
      <c r="U80" s="1"/>
      <c r="V80" s="1"/>
      <c r="W80" s="1"/>
      <c r="X80" s="1"/>
      <c r="Y80" s="1"/>
      <c r="Z80" s="1"/>
    </row>
    <row r="81" spans="1:26" ht="15.75" customHeight="1">
      <c r="A81" s="67">
        <v>76</v>
      </c>
      <c r="B81" s="10" t="s">
        <v>22</v>
      </c>
      <c r="C81" s="10" t="s">
        <v>166</v>
      </c>
      <c r="D81" s="10" t="s">
        <v>101</v>
      </c>
      <c r="E81" s="11"/>
      <c r="F81" s="10"/>
      <c r="G81" s="10"/>
      <c r="H81" s="12" t="s">
        <v>167</v>
      </c>
      <c r="I81" s="10">
        <v>35</v>
      </c>
      <c r="J81" s="10">
        <v>38</v>
      </c>
      <c r="K81" s="10">
        <v>40</v>
      </c>
      <c r="L81" s="10">
        <v>50</v>
      </c>
      <c r="M81" s="10">
        <v>88</v>
      </c>
      <c r="N81" s="10">
        <v>147</v>
      </c>
      <c r="O81" s="10">
        <v>177</v>
      </c>
      <c r="P81" s="10">
        <v>206</v>
      </c>
      <c r="Q81" s="10">
        <v>206</v>
      </c>
      <c r="R81" s="10">
        <v>20</v>
      </c>
      <c r="S81" s="10">
        <v>47</v>
      </c>
      <c r="T81" s="1"/>
      <c r="U81" s="1"/>
      <c r="V81" s="1"/>
      <c r="W81" s="1"/>
      <c r="X81" s="1"/>
      <c r="Y81" s="1"/>
      <c r="Z81" s="1"/>
    </row>
    <row r="82" spans="1:26" ht="15.75" customHeight="1">
      <c r="A82" s="67">
        <v>77</v>
      </c>
      <c r="B82" s="10" t="s">
        <v>22</v>
      </c>
      <c r="C82" s="10" t="s">
        <v>168</v>
      </c>
      <c r="D82" s="10" t="s">
        <v>101</v>
      </c>
      <c r="E82" s="11"/>
      <c r="F82" s="10"/>
      <c r="G82" s="10"/>
      <c r="H82" s="12" t="s">
        <v>169</v>
      </c>
      <c r="I82" s="10">
        <v>35</v>
      </c>
      <c r="J82" s="10">
        <v>38</v>
      </c>
      <c r="K82" s="10">
        <v>40</v>
      </c>
      <c r="L82" s="10">
        <v>50</v>
      </c>
      <c r="M82" s="10">
        <v>88</v>
      </c>
      <c r="N82" s="10">
        <v>147</v>
      </c>
      <c r="O82" s="10">
        <v>177</v>
      </c>
      <c r="P82" s="10">
        <v>206</v>
      </c>
      <c r="Q82" s="10">
        <v>206</v>
      </c>
      <c r="R82" s="10">
        <v>20</v>
      </c>
      <c r="S82" s="10">
        <v>47</v>
      </c>
      <c r="T82" s="1"/>
      <c r="U82" s="1"/>
      <c r="V82" s="1"/>
      <c r="W82" s="1"/>
      <c r="X82" s="1"/>
      <c r="Y82" s="1"/>
      <c r="Z82" s="1"/>
    </row>
    <row r="83" spans="1:26" ht="15.75" customHeight="1">
      <c r="A83" s="67">
        <v>78</v>
      </c>
      <c r="B83" s="10" t="s">
        <v>22</v>
      </c>
      <c r="C83" s="10" t="s">
        <v>170</v>
      </c>
      <c r="D83" s="10" t="s">
        <v>156</v>
      </c>
      <c r="E83" s="11"/>
      <c r="F83" s="10"/>
      <c r="G83" s="10"/>
      <c r="H83" s="12" t="s">
        <v>171</v>
      </c>
      <c r="I83" s="10">
        <v>35</v>
      </c>
      <c r="J83" s="10">
        <v>38</v>
      </c>
      <c r="K83" s="10">
        <v>40</v>
      </c>
      <c r="L83" s="10">
        <v>50</v>
      </c>
      <c r="M83" s="10">
        <v>88</v>
      </c>
      <c r="N83" s="10">
        <v>147</v>
      </c>
      <c r="O83" s="10">
        <v>177</v>
      </c>
      <c r="P83" s="10">
        <v>206</v>
      </c>
      <c r="Q83" s="10">
        <v>206</v>
      </c>
      <c r="R83" s="10">
        <v>20</v>
      </c>
      <c r="S83" s="10">
        <v>47</v>
      </c>
      <c r="T83" s="1"/>
      <c r="U83" s="1"/>
      <c r="V83" s="1"/>
      <c r="W83" s="1"/>
      <c r="X83" s="1"/>
      <c r="Y83" s="1"/>
      <c r="Z83" s="1"/>
    </row>
    <row r="84" spans="1:26" ht="15.75" customHeight="1">
      <c r="A84" s="67">
        <v>79</v>
      </c>
      <c r="B84" s="10" t="s">
        <v>22</v>
      </c>
      <c r="C84" s="10" t="s">
        <v>172</v>
      </c>
      <c r="D84" s="10" t="s">
        <v>156</v>
      </c>
      <c r="E84" s="11"/>
      <c r="F84" s="10"/>
      <c r="G84" s="10"/>
      <c r="H84" s="12" t="s">
        <v>173</v>
      </c>
      <c r="I84" s="10">
        <v>35</v>
      </c>
      <c r="J84" s="10">
        <v>38</v>
      </c>
      <c r="K84" s="10">
        <v>40</v>
      </c>
      <c r="L84" s="10">
        <v>50</v>
      </c>
      <c r="M84" s="10">
        <v>88</v>
      </c>
      <c r="N84" s="10">
        <v>147</v>
      </c>
      <c r="O84" s="10">
        <v>177</v>
      </c>
      <c r="P84" s="10">
        <v>206</v>
      </c>
      <c r="Q84" s="10">
        <v>206</v>
      </c>
      <c r="R84" s="10">
        <v>20</v>
      </c>
      <c r="S84" s="10">
        <v>47</v>
      </c>
      <c r="T84" s="1"/>
      <c r="U84" s="1"/>
      <c r="V84" s="1"/>
      <c r="W84" s="1"/>
      <c r="X84" s="1"/>
      <c r="Y84" s="1"/>
      <c r="Z84" s="1"/>
    </row>
    <row r="85" spans="1:26" ht="15.75" customHeight="1">
      <c r="A85" s="67">
        <v>80</v>
      </c>
      <c r="B85" s="10" t="s">
        <v>22</v>
      </c>
      <c r="C85" s="10" t="s">
        <v>174</v>
      </c>
      <c r="D85" s="10" t="s">
        <v>156</v>
      </c>
      <c r="E85" s="11"/>
      <c r="F85" s="10"/>
      <c r="G85" s="10"/>
      <c r="H85" s="12" t="s">
        <v>175</v>
      </c>
      <c r="I85" s="10">
        <v>35</v>
      </c>
      <c r="J85" s="10">
        <v>38</v>
      </c>
      <c r="K85" s="10">
        <v>40</v>
      </c>
      <c r="L85" s="10">
        <v>50</v>
      </c>
      <c r="M85" s="10">
        <v>88</v>
      </c>
      <c r="N85" s="10">
        <v>147</v>
      </c>
      <c r="O85" s="10">
        <v>177</v>
      </c>
      <c r="P85" s="10">
        <v>206</v>
      </c>
      <c r="Q85" s="10">
        <v>206</v>
      </c>
      <c r="R85" s="10">
        <v>20</v>
      </c>
      <c r="S85" s="10">
        <v>47</v>
      </c>
      <c r="T85" s="1"/>
      <c r="U85" s="1"/>
      <c r="V85" s="1"/>
      <c r="W85" s="1"/>
      <c r="X85" s="1"/>
      <c r="Y85" s="1"/>
      <c r="Z85" s="1"/>
    </row>
    <row r="86" spans="1:26" ht="15.75" customHeight="1">
      <c r="A86" s="67">
        <v>81</v>
      </c>
      <c r="B86" s="10" t="s">
        <v>22</v>
      </c>
      <c r="C86" s="10" t="s">
        <v>176</v>
      </c>
      <c r="D86" s="10" t="s">
        <v>156</v>
      </c>
      <c r="E86" s="11"/>
      <c r="F86" s="10"/>
      <c r="G86" s="10"/>
      <c r="H86" s="12" t="s">
        <v>177</v>
      </c>
      <c r="I86" s="10">
        <v>35</v>
      </c>
      <c r="J86" s="10">
        <v>38</v>
      </c>
      <c r="K86" s="10">
        <v>40</v>
      </c>
      <c r="L86" s="10">
        <v>50</v>
      </c>
      <c r="M86" s="10">
        <v>88</v>
      </c>
      <c r="N86" s="10">
        <v>147</v>
      </c>
      <c r="O86" s="10">
        <v>177</v>
      </c>
      <c r="P86" s="10">
        <v>206</v>
      </c>
      <c r="Q86" s="10">
        <v>206</v>
      </c>
      <c r="R86" s="10">
        <v>20</v>
      </c>
      <c r="S86" s="10">
        <v>47</v>
      </c>
      <c r="T86" s="1"/>
      <c r="U86" s="1"/>
      <c r="V86" s="1"/>
      <c r="W86" s="1"/>
      <c r="X86" s="1"/>
      <c r="Y86" s="1"/>
      <c r="Z86" s="1"/>
    </row>
    <row r="87" spans="1:26" ht="15.75" customHeight="1">
      <c r="A87" s="67">
        <v>82</v>
      </c>
      <c r="B87" s="10" t="s">
        <v>22</v>
      </c>
      <c r="C87" s="10" t="s">
        <v>178</v>
      </c>
      <c r="D87" s="10" t="s">
        <v>156</v>
      </c>
      <c r="E87" s="11"/>
      <c r="F87" s="10"/>
      <c r="G87" s="10"/>
      <c r="H87" s="12" t="s">
        <v>179</v>
      </c>
      <c r="I87" s="10">
        <v>35</v>
      </c>
      <c r="J87" s="10">
        <v>38</v>
      </c>
      <c r="K87" s="10">
        <v>40</v>
      </c>
      <c r="L87" s="10">
        <v>50</v>
      </c>
      <c r="M87" s="10">
        <v>88</v>
      </c>
      <c r="N87" s="10">
        <v>147</v>
      </c>
      <c r="O87" s="10">
        <v>177</v>
      </c>
      <c r="P87" s="10">
        <v>206</v>
      </c>
      <c r="Q87" s="10">
        <v>206</v>
      </c>
      <c r="R87" s="10">
        <v>20</v>
      </c>
      <c r="S87" s="10">
        <v>47</v>
      </c>
      <c r="T87" s="1"/>
      <c r="U87" s="1"/>
      <c r="V87" s="1"/>
      <c r="W87" s="1"/>
      <c r="X87" s="1"/>
      <c r="Y87" s="1"/>
      <c r="Z87" s="1"/>
    </row>
    <row r="88" spans="1:26" ht="15.75" customHeight="1">
      <c r="A88" s="67">
        <v>83</v>
      </c>
      <c r="B88" s="10" t="s">
        <v>22</v>
      </c>
      <c r="C88" s="10" t="s">
        <v>180</v>
      </c>
      <c r="D88" s="10" t="s">
        <v>156</v>
      </c>
      <c r="E88" s="11"/>
      <c r="F88" s="10"/>
      <c r="G88" s="10"/>
      <c r="H88" s="12" t="s">
        <v>181</v>
      </c>
      <c r="I88" s="10">
        <v>41</v>
      </c>
      <c r="J88" s="10">
        <v>47</v>
      </c>
      <c r="K88" s="10">
        <v>47</v>
      </c>
      <c r="L88" s="10">
        <v>59</v>
      </c>
      <c r="M88" s="10">
        <v>124</v>
      </c>
      <c r="N88" s="10">
        <v>147</v>
      </c>
      <c r="O88" s="10">
        <v>177</v>
      </c>
      <c r="P88" s="10">
        <v>206</v>
      </c>
      <c r="Q88" s="10">
        <v>206</v>
      </c>
      <c r="R88" s="10">
        <v>20</v>
      </c>
      <c r="S88" s="10">
        <v>47</v>
      </c>
      <c r="T88" s="1"/>
      <c r="U88" s="1"/>
      <c r="V88" s="1"/>
      <c r="W88" s="1"/>
      <c r="X88" s="1"/>
      <c r="Y88" s="1"/>
      <c r="Z88" s="1"/>
    </row>
    <row r="89" spans="1:26" ht="15.75" customHeight="1">
      <c r="A89" s="67">
        <v>84</v>
      </c>
      <c r="B89" s="10" t="s">
        <v>22</v>
      </c>
      <c r="C89" s="10" t="s">
        <v>182</v>
      </c>
      <c r="D89" s="10" t="s">
        <v>156</v>
      </c>
      <c r="E89" s="11"/>
      <c r="F89" s="10"/>
      <c r="G89" s="10"/>
      <c r="H89" s="12" t="s">
        <v>183</v>
      </c>
      <c r="I89" s="10">
        <v>35</v>
      </c>
      <c r="J89" s="10">
        <v>38</v>
      </c>
      <c r="K89" s="10">
        <v>40</v>
      </c>
      <c r="L89" s="10">
        <v>50</v>
      </c>
      <c r="M89" s="10">
        <v>88</v>
      </c>
      <c r="N89" s="10">
        <v>147</v>
      </c>
      <c r="O89" s="10">
        <v>177</v>
      </c>
      <c r="P89" s="10">
        <v>206</v>
      </c>
      <c r="Q89" s="10">
        <v>206</v>
      </c>
      <c r="R89" s="10">
        <v>20</v>
      </c>
      <c r="S89" s="10">
        <v>47</v>
      </c>
      <c r="T89" s="1"/>
      <c r="U89" s="1"/>
      <c r="V89" s="1"/>
      <c r="W89" s="1"/>
      <c r="X89" s="1"/>
      <c r="Y89" s="1"/>
      <c r="Z89" s="1"/>
    </row>
    <row r="90" spans="1:26" ht="15.75" customHeight="1">
      <c r="A90" s="67">
        <v>85</v>
      </c>
      <c r="B90" s="10" t="s">
        <v>22</v>
      </c>
      <c r="C90" s="10" t="s">
        <v>184</v>
      </c>
      <c r="D90" s="10" t="s">
        <v>156</v>
      </c>
      <c r="E90" s="11"/>
      <c r="F90" s="10"/>
      <c r="G90" s="10"/>
      <c r="H90" s="12" t="s">
        <v>185</v>
      </c>
      <c r="I90" s="10">
        <v>35</v>
      </c>
      <c r="J90" s="10">
        <v>38</v>
      </c>
      <c r="K90" s="10">
        <v>40</v>
      </c>
      <c r="L90" s="10">
        <v>50</v>
      </c>
      <c r="M90" s="10">
        <v>88</v>
      </c>
      <c r="N90" s="10">
        <v>147</v>
      </c>
      <c r="O90" s="10">
        <v>177</v>
      </c>
      <c r="P90" s="10">
        <v>206</v>
      </c>
      <c r="Q90" s="10">
        <v>206</v>
      </c>
      <c r="R90" s="10">
        <v>20</v>
      </c>
      <c r="S90" s="10">
        <v>47</v>
      </c>
      <c r="T90" s="1"/>
      <c r="U90" s="1"/>
      <c r="V90" s="1"/>
      <c r="W90" s="1"/>
      <c r="X90" s="1"/>
      <c r="Y90" s="1"/>
      <c r="Z90" s="1"/>
    </row>
    <row r="91" spans="1:26" ht="15.75" customHeight="1">
      <c r="A91" s="67">
        <v>86</v>
      </c>
      <c r="B91" s="10" t="s">
        <v>22</v>
      </c>
      <c r="C91" s="10" t="s">
        <v>186</v>
      </c>
      <c r="D91" s="10" t="s">
        <v>156</v>
      </c>
      <c r="E91" s="11"/>
      <c r="F91" s="10"/>
      <c r="G91" s="10"/>
      <c r="H91" s="12" t="s">
        <v>187</v>
      </c>
      <c r="I91" s="10">
        <v>35</v>
      </c>
      <c r="J91" s="10">
        <v>38</v>
      </c>
      <c r="K91" s="10">
        <v>40</v>
      </c>
      <c r="L91" s="10">
        <v>50</v>
      </c>
      <c r="M91" s="10">
        <v>88</v>
      </c>
      <c r="N91" s="10">
        <v>147</v>
      </c>
      <c r="O91" s="10">
        <v>177</v>
      </c>
      <c r="P91" s="10">
        <v>206</v>
      </c>
      <c r="Q91" s="10">
        <v>206</v>
      </c>
      <c r="R91" s="10">
        <v>20</v>
      </c>
      <c r="S91" s="10">
        <v>47</v>
      </c>
      <c r="T91" s="1"/>
      <c r="U91" s="1"/>
      <c r="V91" s="1"/>
      <c r="W91" s="1"/>
      <c r="X91" s="1"/>
      <c r="Y91" s="1"/>
      <c r="Z91" s="1"/>
    </row>
    <row r="92" spans="1:26" ht="15.75" customHeight="1">
      <c r="A92" s="67">
        <v>87</v>
      </c>
      <c r="B92" s="10" t="s">
        <v>22</v>
      </c>
      <c r="C92" s="10" t="s">
        <v>188</v>
      </c>
      <c r="D92" s="10" t="s">
        <v>156</v>
      </c>
      <c r="E92" s="11"/>
      <c r="F92" s="10"/>
      <c r="G92" s="10"/>
      <c r="H92" s="12" t="s">
        <v>189</v>
      </c>
      <c r="I92" s="10">
        <v>35</v>
      </c>
      <c r="J92" s="10">
        <v>38</v>
      </c>
      <c r="K92" s="10">
        <v>40</v>
      </c>
      <c r="L92" s="10">
        <v>50</v>
      </c>
      <c r="M92" s="10">
        <v>88</v>
      </c>
      <c r="N92" s="10">
        <v>147</v>
      </c>
      <c r="O92" s="10">
        <v>177</v>
      </c>
      <c r="P92" s="10">
        <v>206</v>
      </c>
      <c r="Q92" s="10">
        <v>206</v>
      </c>
      <c r="R92" s="10">
        <v>20</v>
      </c>
      <c r="S92" s="10">
        <v>47</v>
      </c>
      <c r="T92" s="1"/>
      <c r="U92" s="1"/>
      <c r="V92" s="1"/>
      <c r="W92" s="1"/>
      <c r="X92" s="1"/>
      <c r="Y92" s="1"/>
      <c r="Z92" s="1"/>
    </row>
    <row r="93" spans="1:26" ht="15.75" customHeight="1">
      <c r="A93" s="67">
        <v>88</v>
      </c>
      <c r="B93" s="10" t="s">
        <v>22</v>
      </c>
      <c r="C93" s="10" t="s">
        <v>190</v>
      </c>
      <c r="D93" s="10" t="s">
        <v>156</v>
      </c>
      <c r="E93" s="11"/>
      <c r="F93" s="10"/>
      <c r="G93" s="10"/>
      <c r="H93" s="12" t="s">
        <v>191</v>
      </c>
      <c r="I93" s="10">
        <v>35</v>
      </c>
      <c r="J93" s="10">
        <v>38</v>
      </c>
      <c r="K93" s="10">
        <v>40</v>
      </c>
      <c r="L93" s="10">
        <v>50</v>
      </c>
      <c r="M93" s="10">
        <v>88</v>
      </c>
      <c r="N93" s="10">
        <v>147</v>
      </c>
      <c r="O93" s="10">
        <v>177</v>
      </c>
      <c r="P93" s="10">
        <v>206</v>
      </c>
      <c r="Q93" s="10">
        <v>206</v>
      </c>
      <c r="R93" s="10">
        <v>20</v>
      </c>
      <c r="S93" s="10">
        <v>47</v>
      </c>
      <c r="T93" s="1"/>
      <c r="U93" s="1"/>
      <c r="V93" s="1"/>
      <c r="W93" s="1"/>
      <c r="X93" s="1"/>
      <c r="Y93" s="1"/>
      <c r="Z93" s="1"/>
    </row>
    <row r="94" spans="1:26" ht="15.75" customHeight="1">
      <c r="A94" s="67">
        <v>89</v>
      </c>
      <c r="B94" s="10" t="s">
        <v>22</v>
      </c>
      <c r="C94" s="10" t="s">
        <v>192</v>
      </c>
      <c r="D94" s="10" t="s">
        <v>156</v>
      </c>
      <c r="E94" s="11"/>
      <c r="F94" s="10"/>
      <c r="G94" s="10"/>
      <c r="H94" s="12" t="s">
        <v>193</v>
      </c>
      <c r="I94" s="10">
        <v>35</v>
      </c>
      <c r="J94" s="10">
        <v>38</v>
      </c>
      <c r="K94" s="10">
        <v>40</v>
      </c>
      <c r="L94" s="10">
        <v>50</v>
      </c>
      <c r="M94" s="10">
        <v>88</v>
      </c>
      <c r="N94" s="10">
        <v>147</v>
      </c>
      <c r="O94" s="10">
        <v>177</v>
      </c>
      <c r="P94" s="10">
        <v>206</v>
      </c>
      <c r="Q94" s="10">
        <v>206</v>
      </c>
      <c r="R94" s="10">
        <v>20</v>
      </c>
      <c r="S94" s="10">
        <v>47</v>
      </c>
      <c r="T94" s="1"/>
      <c r="U94" s="1"/>
      <c r="V94" s="1"/>
      <c r="W94" s="1"/>
      <c r="X94" s="1"/>
      <c r="Y94" s="1"/>
      <c r="Z94" s="1"/>
    </row>
    <row r="95" spans="1:26" ht="15.75" customHeight="1">
      <c r="A95" s="67">
        <v>90</v>
      </c>
      <c r="B95" s="10" t="s">
        <v>22</v>
      </c>
      <c r="C95" s="10" t="s">
        <v>194</v>
      </c>
      <c r="D95" s="10" t="s">
        <v>156</v>
      </c>
      <c r="E95" s="11"/>
      <c r="F95" s="10"/>
      <c r="G95" s="10"/>
      <c r="H95" s="12" t="s">
        <v>195</v>
      </c>
      <c r="I95" s="10">
        <v>35</v>
      </c>
      <c r="J95" s="10">
        <v>38</v>
      </c>
      <c r="K95" s="10">
        <v>40</v>
      </c>
      <c r="L95" s="10">
        <v>50</v>
      </c>
      <c r="M95" s="10">
        <v>88</v>
      </c>
      <c r="N95" s="10">
        <v>147</v>
      </c>
      <c r="O95" s="10">
        <v>177</v>
      </c>
      <c r="P95" s="10">
        <v>206</v>
      </c>
      <c r="Q95" s="10">
        <v>206</v>
      </c>
      <c r="R95" s="10">
        <v>20</v>
      </c>
      <c r="S95" s="10">
        <v>47</v>
      </c>
      <c r="T95" s="1"/>
      <c r="U95" s="1"/>
      <c r="V95" s="1"/>
      <c r="W95" s="1"/>
      <c r="X95" s="1"/>
      <c r="Y95" s="1"/>
      <c r="Z95" s="1"/>
    </row>
    <row r="96" spans="1:26" ht="15.75" customHeight="1">
      <c r="A96" s="67">
        <v>91</v>
      </c>
      <c r="B96" s="10" t="s">
        <v>22</v>
      </c>
      <c r="C96" s="10" t="s">
        <v>196</v>
      </c>
      <c r="D96" s="10" t="s">
        <v>156</v>
      </c>
      <c r="E96" s="11"/>
      <c r="F96" s="10"/>
      <c r="G96" s="10"/>
      <c r="H96" s="12" t="s">
        <v>197</v>
      </c>
      <c r="I96" s="10">
        <v>41</v>
      </c>
      <c r="J96" s="10">
        <v>47</v>
      </c>
      <c r="K96" s="10">
        <v>47</v>
      </c>
      <c r="L96" s="10">
        <v>59</v>
      </c>
      <c r="M96" s="10">
        <v>124</v>
      </c>
      <c r="N96" s="10">
        <v>147</v>
      </c>
      <c r="O96" s="10">
        <v>177</v>
      </c>
      <c r="P96" s="10">
        <v>206</v>
      </c>
      <c r="Q96" s="10">
        <v>206</v>
      </c>
      <c r="R96" s="10">
        <v>20</v>
      </c>
      <c r="S96" s="10">
        <v>47</v>
      </c>
      <c r="T96" s="1"/>
      <c r="U96" s="1"/>
      <c r="V96" s="1"/>
      <c r="W96" s="1"/>
      <c r="X96" s="1"/>
      <c r="Y96" s="1"/>
      <c r="Z96" s="1"/>
    </row>
    <row r="97" spans="1:26" ht="15.75" customHeight="1">
      <c r="A97" s="67">
        <v>92</v>
      </c>
      <c r="B97" s="10" t="s">
        <v>22</v>
      </c>
      <c r="C97" s="10" t="s">
        <v>198</v>
      </c>
      <c r="D97" s="10" t="s">
        <v>156</v>
      </c>
      <c r="E97" s="11"/>
      <c r="F97" s="10"/>
      <c r="G97" s="10"/>
      <c r="H97" s="12" t="s">
        <v>199</v>
      </c>
      <c r="I97" s="10">
        <v>35</v>
      </c>
      <c r="J97" s="10">
        <v>38</v>
      </c>
      <c r="K97" s="10">
        <v>40</v>
      </c>
      <c r="L97" s="10">
        <v>50</v>
      </c>
      <c r="M97" s="10">
        <v>88</v>
      </c>
      <c r="N97" s="10">
        <v>147</v>
      </c>
      <c r="O97" s="10">
        <v>177</v>
      </c>
      <c r="P97" s="10">
        <v>206</v>
      </c>
      <c r="Q97" s="10">
        <v>206</v>
      </c>
      <c r="R97" s="10">
        <v>20</v>
      </c>
      <c r="S97" s="10">
        <v>47</v>
      </c>
      <c r="T97" s="1"/>
      <c r="U97" s="1"/>
      <c r="V97" s="1"/>
      <c r="W97" s="1"/>
      <c r="X97" s="1"/>
      <c r="Y97" s="1"/>
      <c r="Z97" s="1"/>
    </row>
    <row r="98" spans="1:26" ht="15.75" customHeight="1">
      <c r="A98" s="67">
        <v>93</v>
      </c>
      <c r="B98" s="10" t="s">
        <v>22</v>
      </c>
      <c r="C98" s="10" t="s">
        <v>200</v>
      </c>
      <c r="D98" s="10" t="s">
        <v>156</v>
      </c>
      <c r="E98" s="11"/>
      <c r="F98" s="10"/>
      <c r="G98" s="10"/>
      <c r="H98" s="12" t="s">
        <v>201</v>
      </c>
      <c r="I98" s="10">
        <v>35</v>
      </c>
      <c r="J98" s="10">
        <v>38</v>
      </c>
      <c r="K98" s="10">
        <v>40</v>
      </c>
      <c r="L98" s="10">
        <v>50</v>
      </c>
      <c r="M98" s="10">
        <v>88</v>
      </c>
      <c r="N98" s="10">
        <v>147</v>
      </c>
      <c r="O98" s="10">
        <v>177</v>
      </c>
      <c r="P98" s="10">
        <v>206</v>
      </c>
      <c r="Q98" s="10">
        <v>206</v>
      </c>
      <c r="R98" s="10">
        <v>20</v>
      </c>
      <c r="S98" s="10">
        <v>47</v>
      </c>
      <c r="T98" s="1"/>
      <c r="U98" s="1"/>
      <c r="V98" s="1"/>
      <c r="W98" s="1"/>
      <c r="X98" s="1"/>
      <c r="Y98" s="1"/>
      <c r="Z98" s="1"/>
    </row>
    <row r="99" spans="1:26" ht="15.75" customHeight="1">
      <c r="A99" s="67">
        <v>94</v>
      </c>
      <c r="B99" s="10" t="s">
        <v>22</v>
      </c>
      <c r="C99" s="10" t="s">
        <v>202</v>
      </c>
      <c r="D99" s="10" t="s">
        <v>156</v>
      </c>
      <c r="E99" s="11"/>
      <c r="F99" s="10"/>
      <c r="G99" s="10"/>
      <c r="H99" s="12" t="s">
        <v>203</v>
      </c>
      <c r="I99" s="10">
        <v>35</v>
      </c>
      <c r="J99" s="10">
        <v>38</v>
      </c>
      <c r="K99" s="10">
        <v>40</v>
      </c>
      <c r="L99" s="10">
        <v>50</v>
      </c>
      <c r="M99" s="10">
        <v>88</v>
      </c>
      <c r="N99" s="10">
        <v>147</v>
      </c>
      <c r="O99" s="10">
        <v>177</v>
      </c>
      <c r="P99" s="10">
        <v>206</v>
      </c>
      <c r="Q99" s="10">
        <v>206</v>
      </c>
      <c r="R99" s="10">
        <v>20</v>
      </c>
      <c r="S99" s="10">
        <v>47</v>
      </c>
      <c r="T99" s="1"/>
      <c r="U99" s="1"/>
      <c r="V99" s="1"/>
      <c r="W99" s="1"/>
      <c r="X99" s="1"/>
      <c r="Y99" s="1"/>
      <c r="Z99" s="1"/>
    </row>
    <row r="100" spans="1:26" ht="15.75" customHeight="1">
      <c r="A100" s="67">
        <v>95</v>
      </c>
      <c r="B100" s="10" t="s">
        <v>22</v>
      </c>
      <c r="C100" s="10" t="s">
        <v>204</v>
      </c>
      <c r="D100" s="10" t="s">
        <v>156</v>
      </c>
      <c r="E100" s="11"/>
      <c r="F100" s="10"/>
      <c r="G100" s="10"/>
      <c r="H100" s="12" t="s">
        <v>205</v>
      </c>
      <c r="I100" s="10">
        <v>35</v>
      </c>
      <c r="J100" s="10">
        <v>38</v>
      </c>
      <c r="K100" s="10">
        <v>40</v>
      </c>
      <c r="L100" s="10">
        <v>50</v>
      </c>
      <c r="M100" s="10">
        <v>88</v>
      </c>
      <c r="N100" s="10">
        <v>147</v>
      </c>
      <c r="O100" s="10">
        <v>177</v>
      </c>
      <c r="P100" s="10">
        <v>206</v>
      </c>
      <c r="Q100" s="10">
        <v>206</v>
      </c>
      <c r="R100" s="10">
        <v>20</v>
      </c>
      <c r="S100" s="10">
        <v>47</v>
      </c>
      <c r="T100" s="1"/>
      <c r="U100" s="1"/>
      <c r="V100" s="1"/>
      <c r="W100" s="1"/>
      <c r="X100" s="1"/>
      <c r="Y100" s="1"/>
      <c r="Z100" s="1"/>
    </row>
    <row r="101" spans="1:26" ht="15.75" customHeight="1">
      <c r="A101" s="67">
        <v>96</v>
      </c>
      <c r="B101" s="10" t="s">
        <v>22</v>
      </c>
      <c r="C101" s="10" t="s">
        <v>206</v>
      </c>
      <c r="D101" s="10" t="s">
        <v>156</v>
      </c>
      <c r="E101" s="11"/>
      <c r="F101" s="10"/>
      <c r="G101" s="10"/>
      <c r="H101" s="12" t="s">
        <v>207</v>
      </c>
      <c r="I101" s="10">
        <v>35</v>
      </c>
      <c r="J101" s="10">
        <v>38</v>
      </c>
      <c r="K101" s="10">
        <v>40</v>
      </c>
      <c r="L101" s="10">
        <v>50</v>
      </c>
      <c r="M101" s="10">
        <v>88</v>
      </c>
      <c r="N101" s="10">
        <v>147</v>
      </c>
      <c r="O101" s="10">
        <v>177</v>
      </c>
      <c r="P101" s="10">
        <v>206</v>
      </c>
      <c r="Q101" s="10">
        <v>206</v>
      </c>
      <c r="R101" s="10">
        <v>20</v>
      </c>
      <c r="S101" s="10">
        <v>47</v>
      </c>
      <c r="T101" s="1"/>
      <c r="U101" s="1"/>
      <c r="V101" s="1"/>
      <c r="W101" s="1"/>
      <c r="X101" s="1"/>
      <c r="Y101" s="1"/>
      <c r="Z101" s="1"/>
    </row>
    <row r="102" spans="1:26" ht="15.75" customHeight="1">
      <c r="A102" s="67">
        <v>97</v>
      </c>
      <c r="B102" s="10" t="s">
        <v>22</v>
      </c>
      <c r="C102" s="10" t="s">
        <v>208</v>
      </c>
      <c r="D102" s="10" t="s">
        <v>156</v>
      </c>
      <c r="E102" s="11"/>
      <c r="F102" s="10"/>
      <c r="G102" s="10"/>
      <c r="H102" s="12" t="s">
        <v>209</v>
      </c>
      <c r="I102" s="10">
        <v>35</v>
      </c>
      <c r="J102" s="10">
        <v>38</v>
      </c>
      <c r="K102" s="10">
        <v>40</v>
      </c>
      <c r="L102" s="10">
        <v>50</v>
      </c>
      <c r="M102" s="10">
        <v>88</v>
      </c>
      <c r="N102" s="10">
        <v>147</v>
      </c>
      <c r="O102" s="10">
        <v>177</v>
      </c>
      <c r="P102" s="10">
        <v>206</v>
      </c>
      <c r="Q102" s="10">
        <v>206</v>
      </c>
      <c r="R102" s="10">
        <v>20</v>
      </c>
      <c r="S102" s="10">
        <v>47</v>
      </c>
      <c r="T102" s="1"/>
      <c r="U102" s="1"/>
      <c r="V102" s="1"/>
      <c r="W102" s="1"/>
      <c r="X102" s="1"/>
      <c r="Y102" s="1"/>
      <c r="Z102" s="1"/>
    </row>
    <row r="103" spans="1:26" ht="15.75" customHeight="1">
      <c r="A103" s="67">
        <v>98</v>
      </c>
      <c r="B103" s="10" t="s">
        <v>22</v>
      </c>
      <c r="C103" s="10" t="s">
        <v>210</v>
      </c>
      <c r="D103" s="10" t="s">
        <v>156</v>
      </c>
      <c r="E103" s="11"/>
      <c r="F103" s="10"/>
      <c r="G103" s="10"/>
      <c r="H103" s="12" t="s">
        <v>211</v>
      </c>
      <c r="I103" s="10">
        <v>41</v>
      </c>
      <c r="J103" s="10">
        <v>47</v>
      </c>
      <c r="K103" s="10">
        <v>47</v>
      </c>
      <c r="L103" s="10">
        <v>59</v>
      </c>
      <c r="M103" s="10">
        <v>124</v>
      </c>
      <c r="N103" s="10">
        <v>147</v>
      </c>
      <c r="O103" s="10">
        <v>177</v>
      </c>
      <c r="P103" s="10">
        <v>206</v>
      </c>
      <c r="Q103" s="10">
        <v>206</v>
      </c>
      <c r="R103" s="10">
        <v>20</v>
      </c>
      <c r="S103" s="10">
        <v>47</v>
      </c>
      <c r="T103" s="1"/>
      <c r="U103" s="1"/>
      <c r="V103" s="1"/>
      <c r="W103" s="1"/>
      <c r="X103" s="1"/>
      <c r="Y103" s="1"/>
      <c r="Z103" s="1"/>
    </row>
    <row r="104" spans="1:26" ht="15.75" customHeight="1">
      <c r="A104" s="67">
        <v>99</v>
      </c>
      <c r="B104" s="10" t="s">
        <v>22</v>
      </c>
      <c r="C104" s="10" t="s">
        <v>212</v>
      </c>
      <c r="D104" s="10" t="s">
        <v>156</v>
      </c>
      <c r="E104" s="11"/>
      <c r="F104" s="10"/>
      <c r="G104" s="10"/>
      <c r="H104" s="12" t="s">
        <v>213</v>
      </c>
      <c r="I104" s="10">
        <v>35</v>
      </c>
      <c r="J104" s="10">
        <v>38</v>
      </c>
      <c r="K104" s="10">
        <v>40</v>
      </c>
      <c r="L104" s="10">
        <v>50</v>
      </c>
      <c r="M104" s="10">
        <v>88</v>
      </c>
      <c r="N104" s="10">
        <v>147</v>
      </c>
      <c r="O104" s="10">
        <v>177</v>
      </c>
      <c r="P104" s="10">
        <v>206</v>
      </c>
      <c r="Q104" s="10">
        <v>206</v>
      </c>
      <c r="R104" s="10">
        <v>20</v>
      </c>
      <c r="S104" s="10">
        <v>47</v>
      </c>
      <c r="T104" s="1"/>
      <c r="U104" s="1"/>
      <c r="V104" s="1"/>
      <c r="W104" s="1"/>
      <c r="X104" s="1"/>
      <c r="Y104" s="1"/>
      <c r="Z104" s="1"/>
    </row>
    <row r="105" spans="1:26" ht="15.75" customHeight="1">
      <c r="A105" s="67">
        <v>100</v>
      </c>
      <c r="B105" s="10" t="s">
        <v>22</v>
      </c>
      <c r="C105" s="10" t="s">
        <v>214</v>
      </c>
      <c r="D105" s="10" t="s">
        <v>156</v>
      </c>
      <c r="E105" s="11"/>
      <c r="F105" s="10"/>
      <c r="G105" s="10"/>
      <c r="H105" s="12" t="s">
        <v>215</v>
      </c>
      <c r="I105" s="10">
        <v>35</v>
      </c>
      <c r="J105" s="10">
        <v>38</v>
      </c>
      <c r="K105" s="10">
        <v>40</v>
      </c>
      <c r="L105" s="10">
        <v>50</v>
      </c>
      <c r="M105" s="10">
        <v>88</v>
      </c>
      <c r="N105" s="10">
        <v>147</v>
      </c>
      <c r="O105" s="10">
        <v>177</v>
      </c>
      <c r="P105" s="10">
        <v>206</v>
      </c>
      <c r="Q105" s="10">
        <v>206</v>
      </c>
      <c r="R105" s="10">
        <v>20</v>
      </c>
      <c r="S105" s="10">
        <v>47</v>
      </c>
      <c r="T105" s="1"/>
      <c r="U105" s="1"/>
      <c r="V105" s="1"/>
      <c r="W105" s="1"/>
      <c r="X105" s="1"/>
      <c r="Y105" s="1"/>
      <c r="Z105" s="1"/>
    </row>
    <row r="106" spans="1:26" ht="15.75" customHeight="1">
      <c r="A106" s="67">
        <v>101</v>
      </c>
      <c r="B106" s="10" t="s">
        <v>22</v>
      </c>
      <c r="C106" s="10" t="s">
        <v>216</v>
      </c>
      <c r="D106" s="10" t="s">
        <v>156</v>
      </c>
      <c r="E106" s="11"/>
      <c r="F106" s="10"/>
      <c r="G106" s="10"/>
      <c r="H106" s="12" t="s">
        <v>217</v>
      </c>
      <c r="I106" s="10">
        <v>35</v>
      </c>
      <c r="J106" s="10">
        <v>38</v>
      </c>
      <c r="K106" s="10">
        <v>40</v>
      </c>
      <c r="L106" s="10">
        <v>50</v>
      </c>
      <c r="M106" s="10">
        <v>88</v>
      </c>
      <c r="N106" s="10">
        <v>147</v>
      </c>
      <c r="O106" s="10">
        <v>177</v>
      </c>
      <c r="P106" s="10">
        <v>206</v>
      </c>
      <c r="Q106" s="10">
        <v>206</v>
      </c>
      <c r="R106" s="10">
        <v>20</v>
      </c>
      <c r="S106" s="10">
        <v>47</v>
      </c>
      <c r="T106" s="1"/>
      <c r="U106" s="1"/>
      <c r="V106" s="1"/>
      <c r="W106" s="1"/>
      <c r="X106" s="1"/>
      <c r="Y106" s="1"/>
      <c r="Z106" s="1"/>
    </row>
    <row r="107" spans="1:26" ht="15.75" customHeight="1">
      <c r="A107" s="67">
        <v>102</v>
      </c>
      <c r="B107" s="10" t="s">
        <v>22</v>
      </c>
      <c r="C107" s="10" t="s">
        <v>218</v>
      </c>
      <c r="D107" s="10" t="s">
        <v>156</v>
      </c>
      <c r="E107" s="11"/>
      <c r="F107" s="10"/>
      <c r="G107" s="10"/>
      <c r="H107" s="12" t="s">
        <v>219</v>
      </c>
      <c r="I107" s="10">
        <v>35</v>
      </c>
      <c r="J107" s="10">
        <v>38</v>
      </c>
      <c r="K107" s="10">
        <v>40</v>
      </c>
      <c r="L107" s="10">
        <v>50</v>
      </c>
      <c r="M107" s="10">
        <v>88</v>
      </c>
      <c r="N107" s="10">
        <v>147</v>
      </c>
      <c r="O107" s="10">
        <v>177</v>
      </c>
      <c r="P107" s="10">
        <v>206</v>
      </c>
      <c r="Q107" s="10">
        <v>206</v>
      </c>
      <c r="R107" s="10">
        <v>20</v>
      </c>
      <c r="S107" s="10">
        <v>47</v>
      </c>
      <c r="T107" s="1"/>
      <c r="U107" s="1"/>
      <c r="V107" s="1"/>
      <c r="W107" s="1"/>
      <c r="X107" s="1"/>
      <c r="Y107" s="1"/>
      <c r="Z107" s="1"/>
    </row>
    <row r="108" spans="1:26" ht="15.75" customHeight="1">
      <c r="A108" s="67">
        <v>103</v>
      </c>
      <c r="B108" s="10" t="s">
        <v>22</v>
      </c>
      <c r="C108" s="10" t="s">
        <v>220</v>
      </c>
      <c r="D108" s="10" t="s">
        <v>156</v>
      </c>
      <c r="E108" s="11"/>
      <c r="F108" s="10"/>
      <c r="G108" s="10"/>
      <c r="H108" s="12" t="s">
        <v>221</v>
      </c>
      <c r="I108" s="10">
        <v>35</v>
      </c>
      <c r="J108" s="10">
        <v>38</v>
      </c>
      <c r="K108" s="10">
        <v>40</v>
      </c>
      <c r="L108" s="10">
        <v>50</v>
      </c>
      <c r="M108" s="10">
        <v>88</v>
      </c>
      <c r="N108" s="10">
        <v>147</v>
      </c>
      <c r="O108" s="10">
        <v>177</v>
      </c>
      <c r="P108" s="10">
        <v>206</v>
      </c>
      <c r="Q108" s="10">
        <v>206</v>
      </c>
      <c r="R108" s="10">
        <v>20</v>
      </c>
      <c r="S108" s="10">
        <v>47</v>
      </c>
      <c r="T108" s="1"/>
      <c r="U108" s="1"/>
      <c r="V108" s="1"/>
      <c r="W108" s="1"/>
      <c r="X108" s="1"/>
      <c r="Y108" s="1"/>
      <c r="Z108" s="1"/>
    </row>
    <row r="109" spans="1:26" ht="15.75" customHeight="1">
      <c r="A109" s="67">
        <v>104</v>
      </c>
      <c r="B109" s="10" t="s">
        <v>22</v>
      </c>
      <c r="C109" s="10" t="s">
        <v>222</v>
      </c>
      <c r="D109" s="10" t="s">
        <v>156</v>
      </c>
      <c r="E109" s="11"/>
      <c r="F109" s="10"/>
      <c r="G109" s="10"/>
      <c r="H109" s="12" t="s">
        <v>223</v>
      </c>
      <c r="I109" s="10">
        <v>35</v>
      </c>
      <c r="J109" s="10">
        <v>38</v>
      </c>
      <c r="K109" s="10">
        <v>40</v>
      </c>
      <c r="L109" s="10">
        <v>50</v>
      </c>
      <c r="M109" s="10">
        <v>88</v>
      </c>
      <c r="N109" s="10">
        <v>147</v>
      </c>
      <c r="O109" s="10">
        <v>177</v>
      </c>
      <c r="P109" s="10">
        <v>206</v>
      </c>
      <c r="Q109" s="10">
        <v>206</v>
      </c>
      <c r="R109" s="10">
        <v>20</v>
      </c>
      <c r="S109" s="10">
        <v>47</v>
      </c>
      <c r="T109" s="1"/>
      <c r="U109" s="1"/>
      <c r="V109" s="1"/>
      <c r="W109" s="1"/>
      <c r="X109" s="1"/>
      <c r="Y109" s="1"/>
      <c r="Z109" s="1"/>
    </row>
    <row r="110" spans="1:26" ht="15.75" customHeight="1">
      <c r="A110" s="67">
        <v>105</v>
      </c>
      <c r="B110" s="10" t="s">
        <v>22</v>
      </c>
      <c r="C110" s="10" t="s">
        <v>224</v>
      </c>
      <c r="D110" s="10" t="s">
        <v>156</v>
      </c>
      <c r="E110" s="11"/>
      <c r="F110" s="10"/>
      <c r="G110" s="10"/>
      <c r="H110" s="12" t="s">
        <v>225</v>
      </c>
      <c r="I110" s="10">
        <v>41</v>
      </c>
      <c r="J110" s="10">
        <v>47</v>
      </c>
      <c r="K110" s="10">
        <v>47</v>
      </c>
      <c r="L110" s="10">
        <v>59</v>
      </c>
      <c r="M110" s="10">
        <v>124</v>
      </c>
      <c r="N110" s="10">
        <v>147</v>
      </c>
      <c r="O110" s="10">
        <v>177</v>
      </c>
      <c r="P110" s="10">
        <v>206</v>
      </c>
      <c r="Q110" s="10">
        <v>206</v>
      </c>
      <c r="R110" s="10">
        <v>20</v>
      </c>
      <c r="S110" s="10">
        <v>47</v>
      </c>
      <c r="T110" s="1"/>
      <c r="U110" s="1"/>
      <c r="V110" s="1"/>
      <c r="W110" s="1"/>
      <c r="X110" s="1"/>
      <c r="Y110" s="1"/>
      <c r="Z110" s="1"/>
    </row>
    <row r="111" spans="1:26" ht="15.75" customHeight="1">
      <c r="A111" s="67">
        <v>106</v>
      </c>
      <c r="B111" s="10" t="s">
        <v>22</v>
      </c>
      <c r="C111" s="10" t="s">
        <v>226</v>
      </c>
      <c r="D111" s="10" t="s">
        <v>156</v>
      </c>
      <c r="E111" s="11"/>
      <c r="F111" s="10"/>
      <c r="G111" s="10"/>
      <c r="H111" s="12" t="s">
        <v>227</v>
      </c>
      <c r="I111" s="10">
        <v>35</v>
      </c>
      <c r="J111" s="10">
        <v>38</v>
      </c>
      <c r="K111" s="10">
        <v>40</v>
      </c>
      <c r="L111" s="10">
        <v>50</v>
      </c>
      <c r="M111" s="10">
        <v>88</v>
      </c>
      <c r="N111" s="10">
        <v>147</v>
      </c>
      <c r="O111" s="10">
        <v>177</v>
      </c>
      <c r="P111" s="10">
        <v>206</v>
      </c>
      <c r="Q111" s="10">
        <v>206</v>
      </c>
      <c r="R111" s="10">
        <v>20</v>
      </c>
      <c r="S111" s="10">
        <v>47</v>
      </c>
      <c r="T111" s="1"/>
      <c r="U111" s="1"/>
      <c r="V111" s="1"/>
      <c r="W111" s="1"/>
      <c r="X111" s="1"/>
      <c r="Y111" s="1"/>
      <c r="Z111" s="1"/>
    </row>
    <row r="112" spans="1:26" ht="15.75" customHeight="1">
      <c r="A112" s="67">
        <v>107</v>
      </c>
      <c r="B112" s="10" t="s">
        <v>22</v>
      </c>
      <c r="C112" s="10" t="s">
        <v>228</v>
      </c>
      <c r="D112" s="10" t="s">
        <v>156</v>
      </c>
      <c r="E112" s="11"/>
      <c r="F112" s="10"/>
      <c r="G112" s="10"/>
      <c r="H112" s="12" t="s">
        <v>229</v>
      </c>
      <c r="I112" s="10">
        <v>35</v>
      </c>
      <c r="J112" s="10">
        <v>38</v>
      </c>
      <c r="K112" s="10">
        <v>40</v>
      </c>
      <c r="L112" s="10">
        <v>50</v>
      </c>
      <c r="M112" s="10">
        <v>88</v>
      </c>
      <c r="N112" s="10">
        <v>147</v>
      </c>
      <c r="O112" s="10">
        <v>177</v>
      </c>
      <c r="P112" s="10">
        <v>206</v>
      </c>
      <c r="Q112" s="10">
        <v>206</v>
      </c>
      <c r="R112" s="10">
        <v>20</v>
      </c>
      <c r="S112" s="10">
        <v>47</v>
      </c>
      <c r="T112" s="1"/>
      <c r="U112" s="1"/>
      <c r="V112" s="1"/>
      <c r="W112" s="1"/>
      <c r="X112" s="1"/>
      <c r="Y112" s="1"/>
      <c r="Z112" s="1"/>
    </row>
    <row r="113" spans="1:26" ht="15.75" customHeight="1">
      <c r="A113" s="67">
        <v>108</v>
      </c>
      <c r="B113" s="10" t="s">
        <v>22</v>
      </c>
      <c r="C113" s="10" t="s">
        <v>230</v>
      </c>
      <c r="D113" s="10" t="s">
        <v>156</v>
      </c>
      <c r="E113" s="11"/>
      <c r="F113" s="10"/>
      <c r="G113" s="10"/>
      <c r="H113" s="12" t="s">
        <v>231</v>
      </c>
      <c r="I113" s="10">
        <v>35</v>
      </c>
      <c r="J113" s="10">
        <v>38</v>
      </c>
      <c r="K113" s="10">
        <v>40</v>
      </c>
      <c r="L113" s="10">
        <v>50</v>
      </c>
      <c r="M113" s="10">
        <v>88</v>
      </c>
      <c r="N113" s="10">
        <v>147</v>
      </c>
      <c r="O113" s="10">
        <v>177</v>
      </c>
      <c r="P113" s="10">
        <v>206</v>
      </c>
      <c r="Q113" s="10">
        <v>206</v>
      </c>
      <c r="R113" s="10">
        <v>20</v>
      </c>
      <c r="S113" s="10">
        <v>47</v>
      </c>
      <c r="T113" s="1"/>
      <c r="U113" s="1"/>
      <c r="V113" s="1"/>
      <c r="W113" s="1"/>
      <c r="X113" s="1"/>
      <c r="Y113" s="1"/>
      <c r="Z113" s="1"/>
    </row>
    <row r="114" spans="1:26" ht="15.75" customHeight="1">
      <c r="A114" s="67">
        <v>109</v>
      </c>
      <c r="B114" s="10" t="s">
        <v>22</v>
      </c>
      <c r="C114" s="10" t="s">
        <v>232</v>
      </c>
      <c r="D114" s="10" t="s">
        <v>156</v>
      </c>
      <c r="E114" s="11"/>
      <c r="F114" s="10"/>
      <c r="G114" s="10"/>
      <c r="H114" s="12" t="s">
        <v>233</v>
      </c>
      <c r="I114" s="10">
        <v>35</v>
      </c>
      <c r="J114" s="10">
        <v>38</v>
      </c>
      <c r="K114" s="10">
        <v>40</v>
      </c>
      <c r="L114" s="10">
        <v>50</v>
      </c>
      <c r="M114" s="10">
        <v>88</v>
      </c>
      <c r="N114" s="10">
        <v>147</v>
      </c>
      <c r="O114" s="10">
        <v>177</v>
      </c>
      <c r="P114" s="10">
        <v>206</v>
      </c>
      <c r="Q114" s="10">
        <v>206</v>
      </c>
      <c r="R114" s="10">
        <v>20</v>
      </c>
      <c r="S114" s="10">
        <v>47</v>
      </c>
      <c r="T114" s="1"/>
      <c r="U114" s="1"/>
      <c r="V114" s="1"/>
      <c r="W114" s="1"/>
      <c r="X114" s="1"/>
      <c r="Y114" s="1"/>
      <c r="Z114" s="1"/>
    </row>
    <row r="115" spans="1:26" ht="15.75" customHeight="1">
      <c r="A115" s="67">
        <v>110</v>
      </c>
      <c r="B115" s="10" t="s">
        <v>22</v>
      </c>
      <c r="C115" s="10" t="s">
        <v>234</v>
      </c>
      <c r="D115" s="10" t="s">
        <v>156</v>
      </c>
      <c r="E115" s="11"/>
      <c r="F115" s="10"/>
      <c r="G115" s="10"/>
      <c r="H115" s="12" t="s">
        <v>235</v>
      </c>
      <c r="I115" s="10">
        <v>35</v>
      </c>
      <c r="J115" s="10">
        <v>38</v>
      </c>
      <c r="K115" s="10">
        <v>40</v>
      </c>
      <c r="L115" s="10">
        <v>50</v>
      </c>
      <c r="M115" s="10">
        <v>88</v>
      </c>
      <c r="N115" s="10">
        <v>147</v>
      </c>
      <c r="O115" s="10">
        <v>177</v>
      </c>
      <c r="P115" s="10">
        <v>206</v>
      </c>
      <c r="Q115" s="10">
        <v>206</v>
      </c>
      <c r="R115" s="10">
        <v>20</v>
      </c>
      <c r="S115" s="10">
        <v>47</v>
      </c>
      <c r="T115" s="1"/>
      <c r="U115" s="1"/>
      <c r="V115" s="1"/>
      <c r="W115" s="1"/>
      <c r="X115" s="1"/>
      <c r="Y115" s="1"/>
      <c r="Z115" s="1"/>
    </row>
    <row r="116" spans="1:26" ht="15.75" customHeight="1">
      <c r="A116" s="67">
        <v>111</v>
      </c>
      <c r="B116" s="10" t="s">
        <v>22</v>
      </c>
      <c r="C116" s="10" t="s">
        <v>236</v>
      </c>
      <c r="D116" s="10" t="s">
        <v>156</v>
      </c>
      <c r="E116" s="11"/>
      <c r="F116" s="10"/>
      <c r="G116" s="10"/>
      <c r="H116" s="12" t="s">
        <v>237</v>
      </c>
      <c r="I116" s="10">
        <v>35</v>
      </c>
      <c r="J116" s="10">
        <v>38</v>
      </c>
      <c r="K116" s="10">
        <v>40</v>
      </c>
      <c r="L116" s="10">
        <v>50</v>
      </c>
      <c r="M116" s="10">
        <v>88</v>
      </c>
      <c r="N116" s="10">
        <v>147</v>
      </c>
      <c r="O116" s="10">
        <v>177</v>
      </c>
      <c r="P116" s="10">
        <v>206</v>
      </c>
      <c r="Q116" s="10">
        <v>206</v>
      </c>
      <c r="R116" s="10">
        <v>20</v>
      </c>
      <c r="S116" s="10">
        <v>47</v>
      </c>
      <c r="T116" s="1"/>
      <c r="U116" s="1"/>
      <c r="V116" s="1"/>
      <c r="W116" s="1"/>
      <c r="X116" s="1"/>
      <c r="Y116" s="1"/>
      <c r="Z116" s="1"/>
    </row>
    <row r="117" spans="1:26" ht="15.75" customHeight="1">
      <c r="A117" s="67">
        <v>112</v>
      </c>
      <c r="B117" s="10" t="s">
        <v>22</v>
      </c>
      <c r="C117" s="10" t="s">
        <v>238</v>
      </c>
      <c r="D117" s="10" t="s">
        <v>156</v>
      </c>
      <c r="E117" s="11"/>
      <c r="F117" s="10"/>
      <c r="G117" s="10"/>
      <c r="H117" s="12" t="s">
        <v>239</v>
      </c>
      <c r="I117" s="10">
        <v>35</v>
      </c>
      <c r="J117" s="10">
        <v>38</v>
      </c>
      <c r="K117" s="10">
        <v>40</v>
      </c>
      <c r="L117" s="10">
        <v>50</v>
      </c>
      <c r="M117" s="10">
        <v>88</v>
      </c>
      <c r="N117" s="10">
        <v>147</v>
      </c>
      <c r="O117" s="10">
        <v>177</v>
      </c>
      <c r="P117" s="10">
        <v>206</v>
      </c>
      <c r="Q117" s="10">
        <v>206</v>
      </c>
      <c r="R117" s="10">
        <v>20</v>
      </c>
      <c r="S117" s="10">
        <v>47</v>
      </c>
      <c r="T117" s="1"/>
      <c r="U117" s="1"/>
      <c r="V117" s="1"/>
      <c r="W117" s="1"/>
      <c r="X117" s="1"/>
      <c r="Y117" s="1"/>
      <c r="Z117" s="1"/>
    </row>
    <row r="118" spans="1:26" ht="15.75" customHeight="1">
      <c r="A118" s="67">
        <v>113</v>
      </c>
      <c r="B118" s="10" t="s">
        <v>22</v>
      </c>
      <c r="C118" s="10" t="s">
        <v>240</v>
      </c>
      <c r="D118" s="10" t="s">
        <v>156</v>
      </c>
      <c r="E118" s="11"/>
      <c r="F118" s="10"/>
      <c r="G118" s="10"/>
      <c r="H118" s="12" t="s">
        <v>241</v>
      </c>
      <c r="I118" s="10">
        <v>35</v>
      </c>
      <c r="J118" s="10">
        <v>38</v>
      </c>
      <c r="K118" s="10">
        <v>40</v>
      </c>
      <c r="L118" s="10">
        <v>50</v>
      </c>
      <c r="M118" s="10">
        <v>88</v>
      </c>
      <c r="N118" s="10">
        <v>147</v>
      </c>
      <c r="O118" s="10">
        <v>177</v>
      </c>
      <c r="P118" s="10">
        <v>206</v>
      </c>
      <c r="Q118" s="10">
        <v>206</v>
      </c>
      <c r="R118" s="10">
        <v>20</v>
      </c>
      <c r="S118" s="10">
        <v>47</v>
      </c>
      <c r="T118" s="1"/>
      <c r="U118" s="1"/>
      <c r="V118" s="1"/>
      <c r="W118" s="1"/>
      <c r="X118" s="1"/>
      <c r="Y118" s="1"/>
      <c r="Z118" s="1"/>
    </row>
    <row r="119" spans="1:26" ht="15.75" customHeight="1">
      <c r="A119" s="67">
        <v>114</v>
      </c>
      <c r="B119" s="10" t="s">
        <v>22</v>
      </c>
      <c r="C119" s="10" t="s">
        <v>242</v>
      </c>
      <c r="D119" s="10" t="s">
        <v>156</v>
      </c>
      <c r="E119" s="11"/>
      <c r="F119" s="10"/>
      <c r="G119" s="10"/>
      <c r="H119" s="12" t="s">
        <v>243</v>
      </c>
      <c r="I119" s="10">
        <v>35</v>
      </c>
      <c r="J119" s="10">
        <v>38</v>
      </c>
      <c r="K119" s="10">
        <v>40</v>
      </c>
      <c r="L119" s="10">
        <v>50</v>
      </c>
      <c r="M119" s="10">
        <v>88</v>
      </c>
      <c r="N119" s="10">
        <v>147</v>
      </c>
      <c r="O119" s="10">
        <v>177</v>
      </c>
      <c r="P119" s="10">
        <v>206</v>
      </c>
      <c r="Q119" s="10">
        <v>206</v>
      </c>
      <c r="R119" s="10">
        <v>20</v>
      </c>
      <c r="S119" s="10">
        <v>47</v>
      </c>
      <c r="T119" s="1"/>
      <c r="U119" s="1"/>
      <c r="V119" s="1"/>
      <c r="W119" s="1"/>
      <c r="X119" s="1"/>
      <c r="Y119" s="1"/>
      <c r="Z119" s="1"/>
    </row>
    <row r="120" spans="1:26" ht="15.75" customHeight="1">
      <c r="A120" s="67">
        <v>115</v>
      </c>
      <c r="B120" s="10" t="s">
        <v>22</v>
      </c>
      <c r="C120" s="10" t="s">
        <v>244</v>
      </c>
      <c r="D120" s="10" t="s">
        <v>156</v>
      </c>
      <c r="E120" s="11"/>
      <c r="F120" s="10"/>
      <c r="G120" s="10"/>
      <c r="H120" s="12" t="s">
        <v>245</v>
      </c>
      <c r="I120" s="10">
        <v>35</v>
      </c>
      <c r="J120" s="10">
        <v>38</v>
      </c>
      <c r="K120" s="10">
        <v>40</v>
      </c>
      <c r="L120" s="10">
        <v>50</v>
      </c>
      <c r="M120" s="10">
        <v>88</v>
      </c>
      <c r="N120" s="10">
        <v>147</v>
      </c>
      <c r="O120" s="10">
        <v>177</v>
      </c>
      <c r="P120" s="10">
        <v>206</v>
      </c>
      <c r="Q120" s="10">
        <v>206</v>
      </c>
      <c r="R120" s="10">
        <v>20</v>
      </c>
      <c r="S120" s="10">
        <v>47</v>
      </c>
      <c r="T120" s="1"/>
      <c r="U120" s="1"/>
      <c r="V120" s="1"/>
      <c r="W120" s="1"/>
      <c r="X120" s="1"/>
      <c r="Y120" s="1"/>
      <c r="Z120" s="1"/>
    </row>
    <row r="121" spans="1:26" ht="15.75" customHeight="1">
      <c r="A121" s="67">
        <v>116</v>
      </c>
      <c r="B121" s="10" t="s">
        <v>22</v>
      </c>
      <c r="C121" s="10" t="s">
        <v>246</v>
      </c>
      <c r="D121" s="10" t="s">
        <v>156</v>
      </c>
      <c r="E121" s="11"/>
      <c r="F121" s="10"/>
      <c r="G121" s="10"/>
      <c r="H121" s="12" t="s">
        <v>247</v>
      </c>
      <c r="I121" s="10">
        <v>35</v>
      </c>
      <c r="J121" s="10">
        <v>38</v>
      </c>
      <c r="K121" s="10">
        <v>40</v>
      </c>
      <c r="L121" s="10">
        <v>50</v>
      </c>
      <c r="M121" s="10">
        <v>88</v>
      </c>
      <c r="N121" s="10">
        <v>147</v>
      </c>
      <c r="O121" s="10">
        <v>177</v>
      </c>
      <c r="P121" s="10">
        <v>206</v>
      </c>
      <c r="Q121" s="10">
        <v>206</v>
      </c>
      <c r="R121" s="10">
        <v>20</v>
      </c>
      <c r="S121" s="10">
        <v>47</v>
      </c>
      <c r="T121" s="1"/>
      <c r="U121" s="1"/>
      <c r="V121" s="1"/>
      <c r="W121" s="1"/>
      <c r="X121" s="1"/>
      <c r="Y121" s="1"/>
      <c r="Z121" s="1"/>
    </row>
    <row r="122" spans="1:26" ht="15.75" customHeight="1">
      <c r="A122" s="67">
        <v>117</v>
      </c>
      <c r="B122" s="10" t="s">
        <v>22</v>
      </c>
      <c r="C122" s="10" t="s">
        <v>248</v>
      </c>
      <c r="D122" s="10" t="s">
        <v>156</v>
      </c>
      <c r="E122" s="11"/>
      <c r="F122" s="10"/>
      <c r="G122" s="10"/>
      <c r="H122" s="12" t="s">
        <v>249</v>
      </c>
      <c r="I122" s="10">
        <v>35</v>
      </c>
      <c r="J122" s="10">
        <v>38</v>
      </c>
      <c r="K122" s="10">
        <v>40</v>
      </c>
      <c r="L122" s="10">
        <v>50</v>
      </c>
      <c r="M122" s="10">
        <v>88</v>
      </c>
      <c r="N122" s="10">
        <v>147</v>
      </c>
      <c r="O122" s="10">
        <v>177</v>
      </c>
      <c r="P122" s="10">
        <v>206</v>
      </c>
      <c r="Q122" s="10">
        <v>206</v>
      </c>
      <c r="R122" s="10">
        <v>20</v>
      </c>
      <c r="S122" s="10">
        <v>47</v>
      </c>
      <c r="T122" s="1"/>
      <c r="U122" s="1"/>
      <c r="V122" s="1"/>
      <c r="W122" s="1"/>
      <c r="X122" s="1"/>
      <c r="Y122" s="1"/>
      <c r="Z122" s="1"/>
    </row>
    <row r="123" spans="1:26" ht="15.75" customHeight="1">
      <c r="A123" s="67">
        <v>118</v>
      </c>
      <c r="B123" s="10" t="s">
        <v>22</v>
      </c>
      <c r="C123" s="10" t="s">
        <v>250</v>
      </c>
      <c r="D123" s="10" t="s">
        <v>156</v>
      </c>
      <c r="E123" s="11"/>
      <c r="F123" s="10"/>
      <c r="G123" s="10"/>
      <c r="H123" s="12" t="s">
        <v>251</v>
      </c>
      <c r="I123" s="10">
        <v>35</v>
      </c>
      <c r="J123" s="10">
        <v>38</v>
      </c>
      <c r="K123" s="10">
        <v>40</v>
      </c>
      <c r="L123" s="10">
        <v>50</v>
      </c>
      <c r="M123" s="10">
        <v>88</v>
      </c>
      <c r="N123" s="10">
        <v>147</v>
      </c>
      <c r="O123" s="10">
        <v>177</v>
      </c>
      <c r="P123" s="10">
        <v>206</v>
      </c>
      <c r="Q123" s="10">
        <v>206</v>
      </c>
      <c r="R123" s="10">
        <v>20</v>
      </c>
      <c r="S123" s="10">
        <v>47</v>
      </c>
      <c r="T123" s="1"/>
      <c r="U123" s="1"/>
      <c r="V123" s="1"/>
      <c r="W123" s="1"/>
      <c r="X123" s="1"/>
      <c r="Y123" s="1"/>
      <c r="Z123" s="1"/>
    </row>
    <row r="124" spans="1:26" ht="15.75" customHeight="1">
      <c r="A124" s="67">
        <v>119</v>
      </c>
      <c r="B124" s="10" t="s">
        <v>22</v>
      </c>
      <c r="C124" s="10" t="s">
        <v>252</v>
      </c>
      <c r="D124" s="10" t="s">
        <v>156</v>
      </c>
      <c r="E124" s="11"/>
      <c r="F124" s="10"/>
      <c r="G124" s="10"/>
      <c r="H124" s="12" t="s">
        <v>253</v>
      </c>
      <c r="I124" s="10">
        <v>35</v>
      </c>
      <c r="J124" s="10">
        <v>38</v>
      </c>
      <c r="K124" s="10">
        <v>40</v>
      </c>
      <c r="L124" s="10">
        <v>50</v>
      </c>
      <c r="M124" s="10">
        <v>88</v>
      </c>
      <c r="N124" s="10">
        <v>147</v>
      </c>
      <c r="O124" s="10">
        <v>177</v>
      </c>
      <c r="P124" s="10">
        <v>206</v>
      </c>
      <c r="Q124" s="10">
        <v>206</v>
      </c>
      <c r="R124" s="10">
        <v>20</v>
      </c>
      <c r="S124" s="10">
        <v>47</v>
      </c>
      <c r="T124" s="1"/>
      <c r="U124" s="1"/>
      <c r="V124" s="1"/>
      <c r="W124" s="1"/>
      <c r="X124" s="1"/>
      <c r="Y124" s="1"/>
      <c r="Z124" s="1"/>
    </row>
    <row r="125" spans="1:26" ht="15.75" customHeight="1">
      <c r="A125" s="67">
        <v>120</v>
      </c>
      <c r="B125" s="10" t="s">
        <v>22</v>
      </c>
      <c r="C125" s="10" t="s">
        <v>254</v>
      </c>
      <c r="D125" s="10" t="s">
        <v>156</v>
      </c>
      <c r="E125" s="11"/>
      <c r="F125" s="10"/>
      <c r="G125" s="10"/>
      <c r="H125" s="12" t="s">
        <v>255</v>
      </c>
      <c r="I125" s="10">
        <v>35</v>
      </c>
      <c r="J125" s="10">
        <v>38</v>
      </c>
      <c r="K125" s="10">
        <v>40</v>
      </c>
      <c r="L125" s="10">
        <v>50</v>
      </c>
      <c r="M125" s="10">
        <v>88</v>
      </c>
      <c r="N125" s="10">
        <v>147</v>
      </c>
      <c r="O125" s="10">
        <v>177</v>
      </c>
      <c r="P125" s="10">
        <v>206</v>
      </c>
      <c r="Q125" s="10">
        <v>206</v>
      </c>
      <c r="R125" s="10">
        <v>20</v>
      </c>
      <c r="S125" s="10">
        <v>47</v>
      </c>
      <c r="T125" s="1"/>
      <c r="U125" s="1"/>
      <c r="V125" s="1"/>
      <c r="W125" s="1"/>
      <c r="X125" s="1"/>
      <c r="Y125" s="1"/>
      <c r="Z125" s="1"/>
    </row>
    <row r="126" spans="1:26" ht="15.75" customHeight="1">
      <c r="A126" s="67">
        <v>121</v>
      </c>
      <c r="B126" s="10" t="s">
        <v>22</v>
      </c>
      <c r="C126" s="10" t="s">
        <v>256</v>
      </c>
      <c r="D126" s="10" t="s">
        <v>156</v>
      </c>
      <c r="E126" s="11"/>
      <c r="F126" s="10"/>
      <c r="G126" s="10"/>
      <c r="H126" s="12" t="s">
        <v>257</v>
      </c>
      <c r="I126" s="10">
        <v>35</v>
      </c>
      <c r="J126" s="10">
        <v>38</v>
      </c>
      <c r="K126" s="10">
        <v>40</v>
      </c>
      <c r="L126" s="10">
        <v>50</v>
      </c>
      <c r="M126" s="10">
        <v>88</v>
      </c>
      <c r="N126" s="10">
        <v>147</v>
      </c>
      <c r="O126" s="10">
        <v>177</v>
      </c>
      <c r="P126" s="10">
        <v>206</v>
      </c>
      <c r="Q126" s="10">
        <v>206</v>
      </c>
      <c r="R126" s="10">
        <v>20</v>
      </c>
      <c r="S126" s="10">
        <v>47</v>
      </c>
      <c r="T126" s="1"/>
      <c r="U126" s="1"/>
      <c r="V126" s="1"/>
      <c r="W126" s="1"/>
      <c r="X126" s="1"/>
      <c r="Y126" s="1"/>
      <c r="Z126" s="1"/>
    </row>
    <row r="127" spans="1:26" ht="15.75" customHeight="1">
      <c r="A127" s="67">
        <v>122</v>
      </c>
      <c r="B127" s="10" t="s">
        <v>22</v>
      </c>
      <c r="C127" s="10" t="s">
        <v>258</v>
      </c>
      <c r="D127" s="10" t="s">
        <v>156</v>
      </c>
      <c r="E127" s="11"/>
      <c r="F127" s="10"/>
      <c r="G127" s="10"/>
      <c r="H127" s="12" t="s">
        <v>259</v>
      </c>
      <c r="I127" s="10">
        <v>35</v>
      </c>
      <c r="J127" s="10">
        <v>38</v>
      </c>
      <c r="K127" s="10">
        <v>40</v>
      </c>
      <c r="L127" s="10">
        <v>50</v>
      </c>
      <c r="M127" s="10">
        <v>88</v>
      </c>
      <c r="N127" s="10">
        <v>147</v>
      </c>
      <c r="O127" s="10">
        <v>177</v>
      </c>
      <c r="P127" s="10">
        <v>206</v>
      </c>
      <c r="Q127" s="10">
        <v>206</v>
      </c>
      <c r="R127" s="10">
        <v>20</v>
      </c>
      <c r="S127" s="10">
        <v>47</v>
      </c>
      <c r="T127" s="1"/>
      <c r="U127" s="1"/>
      <c r="V127" s="1"/>
      <c r="W127" s="1"/>
      <c r="X127" s="1"/>
      <c r="Y127" s="1"/>
      <c r="Z127" s="1"/>
    </row>
    <row r="128" spans="1:26" ht="15.75" customHeight="1">
      <c r="A128" s="67">
        <v>123</v>
      </c>
      <c r="B128" s="10" t="s">
        <v>22</v>
      </c>
      <c r="C128" s="10" t="s">
        <v>260</v>
      </c>
      <c r="D128" s="10" t="s">
        <v>156</v>
      </c>
      <c r="E128" s="11"/>
      <c r="F128" s="10"/>
      <c r="G128" s="10"/>
      <c r="H128" s="12" t="s">
        <v>261</v>
      </c>
      <c r="I128" s="10">
        <v>41</v>
      </c>
      <c r="J128" s="10">
        <v>47</v>
      </c>
      <c r="K128" s="10">
        <v>47</v>
      </c>
      <c r="L128" s="10">
        <v>59</v>
      </c>
      <c r="M128" s="10">
        <v>88</v>
      </c>
      <c r="N128" s="10">
        <v>147</v>
      </c>
      <c r="O128" s="10">
        <v>177</v>
      </c>
      <c r="P128" s="10">
        <v>206</v>
      </c>
      <c r="Q128" s="10">
        <v>206</v>
      </c>
      <c r="R128" s="10">
        <v>20</v>
      </c>
      <c r="S128" s="10">
        <v>47</v>
      </c>
      <c r="T128" s="1"/>
      <c r="U128" s="1"/>
      <c r="V128" s="1"/>
      <c r="W128" s="1"/>
      <c r="X128" s="1"/>
      <c r="Y128" s="1"/>
      <c r="Z128" s="1"/>
    </row>
    <row r="129" spans="1:26" ht="15.75" customHeight="1">
      <c r="A129" s="67">
        <v>124</v>
      </c>
      <c r="B129" s="10" t="s">
        <v>22</v>
      </c>
      <c r="C129" s="10" t="s">
        <v>262</v>
      </c>
      <c r="D129" s="10" t="s">
        <v>156</v>
      </c>
      <c r="E129" s="11"/>
      <c r="F129" s="10"/>
      <c r="G129" s="10"/>
      <c r="H129" s="12" t="s">
        <v>263</v>
      </c>
      <c r="I129" s="10">
        <v>35</v>
      </c>
      <c r="J129" s="10">
        <v>38</v>
      </c>
      <c r="K129" s="10">
        <v>40</v>
      </c>
      <c r="L129" s="10">
        <v>50</v>
      </c>
      <c r="M129" s="10">
        <v>88</v>
      </c>
      <c r="N129" s="10">
        <v>147</v>
      </c>
      <c r="O129" s="10">
        <v>177</v>
      </c>
      <c r="P129" s="10">
        <v>206</v>
      </c>
      <c r="Q129" s="10">
        <v>206</v>
      </c>
      <c r="R129" s="10">
        <v>20</v>
      </c>
      <c r="S129" s="10">
        <v>47</v>
      </c>
      <c r="T129" s="1"/>
      <c r="U129" s="1"/>
      <c r="V129" s="1"/>
      <c r="W129" s="1"/>
      <c r="X129" s="1"/>
      <c r="Y129" s="1"/>
      <c r="Z129" s="1"/>
    </row>
    <row r="130" spans="1:26" ht="15.75" customHeight="1">
      <c r="A130" s="67">
        <v>125</v>
      </c>
      <c r="B130" s="10" t="s">
        <v>22</v>
      </c>
      <c r="C130" s="10" t="s">
        <v>264</v>
      </c>
      <c r="D130" s="10" t="s">
        <v>156</v>
      </c>
      <c r="E130" s="11"/>
      <c r="F130" s="10"/>
      <c r="G130" s="10"/>
      <c r="H130" s="12" t="s">
        <v>265</v>
      </c>
      <c r="I130" s="10">
        <v>41</v>
      </c>
      <c r="J130" s="10">
        <v>47</v>
      </c>
      <c r="K130" s="10">
        <v>47</v>
      </c>
      <c r="L130" s="10">
        <v>59</v>
      </c>
      <c r="M130" s="10">
        <v>124</v>
      </c>
      <c r="N130" s="10">
        <v>147</v>
      </c>
      <c r="O130" s="10">
        <v>177</v>
      </c>
      <c r="P130" s="10">
        <v>206</v>
      </c>
      <c r="Q130" s="10">
        <v>206</v>
      </c>
      <c r="R130" s="10">
        <v>20</v>
      </c>
      <c r="S130" s="10">
        <v>47</v>
      </c>
      <c r="T130" s="1"/>
      <c r="U130" s="1"/>
      <c r="V130" s="1"/>
      <c r="W130" s="1"/>
      <c r="X130" s="1"/>
      <c r="Y130" s="1"/>
      <c r="Z130" s="1"/>
    </row>
    <row r="131" spans="1:26" ht="15.75" customHeight="1">
      <c r="A131" s="67">
        <v>126</v>
      </c>
      <c r="B131" s="10" t="s">
        <v>22</v>
      </c>
      <c r="C131" s="10" t="s">
        <v>266</v>
      </c>
      <c r="D131" s="10" t="s">
        <v>156</v>
      </c>
      <c r="E131" s="11"/>
      <c r="F131" s="10"/>
      <c r="G131" s="10"/>
      <c r="H131" s="12" t="s">
        <v>267</v>
      </c>
      <c r="I131" s="10">
        <v>41</v>
      </c>
      <c r="J131" s="10">
        <v>47</v>
      </c>
      <c r="K131" s="10">
        <v>47</v>
      </c>
      <c r="L131" s="10">
        <v>59</v>
      </c>
      <c r="M131" s="10">
        <v>124</v>
      </c>
      <c r="N131" s="10">
        <v>147</v>
      </c>
      <c r="O131" s="10">
        <v>177</v>
      </c>
      <c r="P131" s="10">
        <v>206</v>
      </c>
      <c r="Q131" s="10">
        <v>206</v>
      </c>
      <c r="R131" s="10">
        <v>20</v>
      </c>
      <c r="S131" s="10">
        <v>47</v>
      </c>
      <c r="T131" s="1"/>
      <c r="U131" s="1"/>
      <c r="V131" s="1"/>
      <c r="W131" s="1"/>
      <c r="X131" s="1"/>
      <c r="Y131" s="1"/>
      <c r="Z131" s="1"/>
    </row>
    <row r="132" spans="1:26" ht="15.75" customHeight="1">
      <c r="A132" s="67">
        <v>127</v>
      </c>
      <c r="B132" s="10" t="s">
        <v>22</v>
      </c>
      <c r="C132" s="10" t="s">
        <v>268</v>
      </c>
      <c r="D132" s="10" t="s">
        <v>156</v>
      </c>
      <c r="E132" s="11"/>
      <c r="F132" s="10"/>
      <c r="G132" s="10"/>
      <c r="H132" s="12" t="s">
        <v>269</v>
      </c>
      <c r="I132" s="10">
        <v>35</v>
      </c>
      <c r="J132" s="10">
        <v>38</v>
      </c>
      <c r="K132" s="10">
        <v>40</v>
      </c>
      <c r="L132" s="10">
        <v>50</v>
      </c>
      <c r="M132" s="10">
        <v>88</v>
      </c>
      <c r="N132" s="10">
        <v>147</v>
      </c>
      <c r="O132" s="10">
        <v>177</v>
      </c>
      <c r="P132" s="10">
        <v>206</v>
      </c>
      <c r="Q132" s="10">
        <v>206</v>
      </c>
      <c r="R132" s="10">
        <v>20</v>
      </c>
      <c r="S132" s="10">
        <v>47</v>
      </c>
      <c r="T132" s="1"/>
      <c r="U132" s="1"/>
      <c r="V132" s="1"/>
      <c r="W132" s="1"/>
      <c r="X132" s="1"/>
      <c r="Y132" s="1"/>
      <c r="Z132" s="1"/>
    </row>
    <row r="133" spans="1:26" ht="15.75" customHeight="1">
      <c r="A133" s="67">
        <v>128</v>
      </c>
      <c r="B133" s="10" t="s">
        <v>22</v>
      </c>
      <c r="C133" s="10" t="s">
        <v>270</v>
      </c>
      <c r="D133" s="10" t="s">
        <v>156</v>
      </c>
      <c r="E133" s="11"/>
      <c r="F133" s="10"/>
      <c r="G133" s="10"/>
      <c r="H133" s="12" t="s">
        <v>271</v>
      </c>
      <c r="I133" s="10">
        <v>41</v>
      </c>
      <c r="J133" s="10">
        <v>47</v>
      </c>
      <c r="K133" s="10">
        <v>47</v>
      </c>
      <c r="L133" s="10">
        <v>59</v>
      </c>
      <c r="M133" s="10">
        <v>124</v>
      </c>
      <c r="N133" s="10">
        <v>147</v>
      </c>
      <c r="O133" s="10">
        <v>177</v>
      </c>
      <c r="P133" s="10">
        <v>206</v>
      </c>
      <c r="Q133" s="10">
        <v>206</v>
      </c>
      <c r="R133" s="10">
        <v>20</v>
      </c>
      <c r="S133" s="10">
        <v>47</v>
      </c>
      <c r="T133" s="1"/>
      <c r="U133" s="1"/>
      <c r="V133" s="1"/>
      <c r="W133" s="1"/>
      <c r="X133" s="1"/>
      <c r="Y133" s="1"/>
      <c r="Z133" s="1"/>
    </row>
    <row r="134" spans="1:26" ht="15.75" customHeight="1">
      <c r="A134" s="67">
        <v>129</v>
      </c>
      <c r="B134" s="10" t="s">
        <v>22</v>
      </c>
      <c r="C134" s="10" t="s">
        <v>272</v>
      </c>
      <c r="D134" s="10" t="s">
        <v>156</v>
      </c>
      <c r="E134" s="11"/>
      <c r="F134" s="10"/>
      <c r="G134" s="10"/>
      <c r="H134" s="12" t="s">
        <v>273</v>
      </c>
      <c r="I134" s="10">
        <v>35</v>
      </c>
      <c r="J134" s="10">
        <v>38</v>
      </c>
      <c r="K134" s="10">
        <v>40</v>
      </c>
      <c r="L134" s="10">
        <v>50</v>
      </c>
      <c r="M134" s="10">
        <v>88</v>
      </c>
      <c r="N134" s="10">
        <v>147</v>
      </c>
      <c r="O134" s="10">
        <v>177</v>
      </c>
      <c r="P134" s="10">
        <v>206</v>
      </c>
      <c r="Q134" s="10">
        <v>206</v>
      </c>
      <c r="R134" s="10">
        <v>20</v>
      </c>
      <c r="S134" s="10">
        <v>47</v>
      </c>
      <c r="T134" s="1"/>
      <c r="U134" s="1"/>
      <c r="V134" s="1"/>
      <c r="W134" s="1"/>
      <c r="X134" s="1"/>
      <c r="Y134" s="1"/>
      <c r="Z134" s="1"/>
    </row>
    <row r="135" spans="1:26" ht="15.75" customHeight="1">
      <c r="A135" s="67">
        <v>130</v>
      </c>
      <c r="B135" s="10" t="s">
        <v>21</v>
      </c>
      <c r="C135" s="10" t="s">
        <v>274</v>
      </c>
      <c r="D135" s="10" t="s">
        <v>156</v>
      </c>
      <c r="E135" s="11"/>
      <c r="F135" s="10"/>
      <c r="G135" s="10"/>
      <c r="H135" s="12" t="s">
        <v>275</v>
      </c>
      <c r="I135" s="10">
        <v>30</v>
      </c>
      <c r="J135" s="10">
        <v>30</v>
      </c>
      <c r="K135" s="10">
        <v>36</v>
      </c>
      <c r="L135" s="10">
        <v>48</v>
      </c>
      <c r="M135" s="10">
        <v>124</v>
      </c>
      <c r="N135" s="10">
        <v>147</v>
      </c>
      <c r="O135" s="10">
        <v>177</v>
      </c>
      <c r="P135" s="10">
        <v>206</v>
      </c>
      <c r="Q135" s="10">
        <v>206</v>
      </c>
      <c r="R135" s="10">
        <v>20</v>
      </c>
      <c r="S135" s="10">
        <v>47</v>
      </c>
      <c r="T135" s="1"/>
      <c r="U135" s="1"/>
      <c r="V135" s="1"/>
      <c r="W135" s="1"/>
      <c r="X135" s="1"/>
      <c r="Y135" s="1"/>
      <c r="Z135" s="1"/>
    </row>
    <row r="136" spans="1:26" ht="15.75" customHeight="1">
      <c r="A136" s="67">
        <v>131</v>
      </c>
      <c r="B136" s="10" t="s">
        <v>21</v>
      </c>
      <c r="C136" s="10" t="s">
        <v>276</v>
      </c>
      <c r="D136" s="10" t="s">
        <v>156</v>
      </c>
      <c r="E136" s="11"/>
      <c r="F136" s="10"/>
      <c r="G136" s="10"/>
      <c r="H136" s="12" t="s">
        <v>277</v>
      </c>
      <c r="I136" s="10">
        <v>30</v>
      </c>
      <c r="J136" s="10">
        <v>30</v>
      </c>
      <c r="K136" s="10">
        <v>36</v>
      </c>
      <c r="L136" s="10">
        <v>48</v>
      </c>
      <c r="M136" s="10">
        <v>124</v>
      </c>
      <c r="N136" s="10">
        <v>147</v>
      </c>
      <c r="O136" s="10">
        <v>177</v>
      </c>
      <c r="P136" s="10">
        <v>206</v>
      </c>
      <c r="Q136" s="10">
        <v>206</v>
      </c>
      <c r="R136" s="10">
        <v>20</v>
      </c>
      <c r="S136" s="10">
        <v>47</v>
      </c>
      <c r="T136" s="1"/>
      <c r="U136" s="1"/>
      <c r="V136" s="1"/>
      <c r="W136" s="1"/>
      <c r="X136" s="1"/>
      <c r="Y136" s="1"/>
      <c r="Z136" s="1"/>
    </row>
    <row r="137" spans="1:26" ht="15.75" customHeight="1">
      <c r="A137" s="67">
        <v>132</v>
      </c>
      <c r="B137" s="10" t="s">
        <v>22</v>
      </c>
      <c r="C137" s="10" t="s">
        <v>278</v>
      </c>
      <c r="D137" s="10" t="s">
        <v>156</v>
      </c>
      <c r="E137" s="11"/>
      <c r="F137" s="10"/>
      <c r="G137" s="10"/>
      <c r="H137" s="12" t="s">
        <v>279</v>
      </c>
      <c r="I137" s="10">
        <v>12</v>
      </c>
      <c r="J137" s="10">
        <v>18</v>
      </c>
      <c r="K137" s="10">
        <v>12</v>
      </c>
      <c r="L137" s="10">
        <v>24</v>
      </c>
      <c r="M137" s="10">
        <v>35</v>
      </c>
      <c r="N137" s="10">
        <v>47</v>
      </c>
      <c r="O137" s="10">
        <v>59</v>
      </c>
      <c r="P137" s="10">
        <v>74</v>
      </c>
      <c r="Q137" s="10">
        <v>74</v>
      </c>
      <c r="R137" s="10">
        <v>20</v>
      </c>
      <c r="S137" s="10">
        <v>24</v>
      </c>
      <c r="T137" s="1"/>
      <c r="U137" s="1"/>
      <c r="V137" s="1"/>
      <c r="W137" s="1"/>
      <c r="X137" s="1"/>
      <c r="Y137" s="1"/>
      <c r="Z137" s="1"/>
    </row>
    <row r="138" spans="1:26" ht="15.75" customHeight="1">
      <c r="A138" s="67">
        <v>133</v>
      </c>
      <c r="B138" s="10" t="s">
        <v>22</v>
      </c>
      <c r="C138" s="10" t="s">
        <v>280</v>
      </c>
      <c r="D138" s="10" t="s">
        <v>156</v>
      </c>
      <c r="E138" s="11"/>
      <c r="F138" s="10"/>
      <c r="G138" s="10"/>
      <c r="H138" s="12" t="s">
        <v>281</v>
      </c>
      <c r="I138" s="10">
        <v>12</v>
      </c>
      <c r="J138" s="10">
        <v>18</v>
      </c>
      <c r="K138" s="10">
        <v>12</v>
      </c>
      <c r="L138" s="10">
        <v>24</v>
      </c>
      <c r="M138" s="10">
        <v>35</v>
      </c>
      <c r="N138" s="10">
        <v>47</v>
      </c>
      <c r="O138" s="10">
        <v>59</v>
      </c>
      <c r="P138" s="10">
        <v>74</v>
      </c>
      <c r="Q138" s="10">
        <v>74</v>
      </c>
      <c r="R138" s="10">
        <v>20</v>
      </c>
      <c r="S138" s="10">
        <v>24</v>
      </c>
      <c r="T138" s="1"/>
      <c r="U138" s="1"/>
      <c r="V138" s="1"/>
      <c r="W138" s="1"/>
      <c r="X138" s="1"/>
      <c r="Y138" s="1"/>
      <c r="Z138" s="1"/>
    </row>
    <row r="139" spans="1:26" ht="15.75" customHeight="1">
      <c r="A139" s="67">
        <v>134</v>
      </c>
      <c r="B139" s="10" t="s">
        <v>282</v>
      </c>
      <c r="C139" s="10" t="s">
        <v>283</v>
      </c>
      <c r="D139" s="10" t="s">
        <v>156</v>
      </c>
      <c r="E139" s="11"/>
      <c r="F139" s="10"/>
      <c r="G139" s="10"/>
      <c r="H139" s="12" t="s">
        <v>284</v>
      </c>
      <c r="I139" s="10">
        <v>1</v>
      </c>
      <c r="J139" s="10">
        <v>1</v>
      </c>
      <c r="K139" s="10">
        <v>1</v>
      </c>
      <c r="L139" s="10">
        <v>1</v>
      </c>
      <c r="M139" s="10">
        <v>1</v>
      </c>
      <c r="N139" s="10">
        <v>1</v>
      </c>
      <c r="O139" s="10">
        <v>1</v>
      </c>
      <c r="P139" s="10">
        <v>1</v>
      </c>
      <c r="Q139" s="10">
        <v>1</v>
      </c>
      <c r="R139" s="10">
        <v>20</v>
      </c>
      <c r="S139" s="10">
        <v>1</v>
      </c>
      <c r="T139" s="1"/>
      <c r="U139" s="1"/>
      <c r="V139" s="1"/>
      <c r="W139" s="1"/>
      <c r="X139" s="1"/>
      <c r="Y139" s="1"/>
      <c r="Z139" s="1"/>
    </row>
    <row r="140" spans="1:26" ht="15.75" customHeight="1">
      <c r="A140" s="67">
        <v>135</v>
      </c>
      <c r="B140" s="10" t="s">
        <v>22</v>
      </c>
      <c r="C140" s="10" t="s">
        <v>285</v>
      </c>
      <c r="D140" s="10" t="s">
        <v>36</v>
      </c>
      <c r="E140" s="10"/>
      <c r="F140" s="10"/>
      <c r="G140" s="10"/>
      <c r="H140" s="12" t="s">
        <v>286</v>
      </c>
      <c r="I140" s="10">
        <v>20</v>
      </c>
      <c r="J140" s="10">
        <v>30</v>
      </c>
      <c r="K140" s="10">
        <v>30</v>
      </c>
      <c r="L140" s="10">
        <v>30</v>
      </c>
      <c r="M140" s="10">
        <v>60</v>
      </c>
      <c r="N140" s="10">
        <v>89</v>
      </c>
      <c r="O140" s="10">
        <v>178</v>
      </c>
      <c r="P140" s="10">
        <v>237</v>
      </c>
      <c r="Q140" s="10">
        <v>237</v>
      </c>
      <c r="R140" s="10">
        <v>30</v>
      </c>
      <c r="S140" s="10">
        <v>65</v>
      </c>
      <c r="T140" s="1"/>
      <c r="U140" s="1"/>
      <c r="V140" s="1"/>
      <c r="W140" s="1"/>
      <c r="X140" s="1"/>
      <c r="Y140" s="1"/>
      <c r="Z140" s="1"/>
    </row>
    <row r="141" spans="1:26" ht="15.75" customHeight="1">
      <c r="A141" s="67">
        <v>136</v>
      </c>
      <c r="B141" s="14" t="s">
        <v>287</v>
      </c>
      <c r="C141" s="10" t="s">
        <v>288</v>
      </c>
      <c r="D141" s="10" t="s">
        <v>156</v>
      </c>
      <c r="E141" s="11"/>
      <c r="F141" s="72"/>
      <c r="G141" s="73"/>
      <c r="H141" s="12" t="s">
        <v>289</v>
      </c>
      <c r="I141" s="10">
        <v>35</v>
      </c>
      <c r="J141" s="10">
        <v>38</v>
      </c>
      <c r="K141" s="10">
        <v>40</v>
      </c>
      <c r="L141" s="10">
        <v>50</v>
      </c>
      <c r="M141" s="10">
        <v>88</v>
      </c>
      <c r="N141" s="10">
        <v>147</v>
      </c>
      <c r="O141" s="10">
        <v>177</v>
      </c>
      <c r="P141" s="10">
        <v>206</v>
      </c>
      <c r="Q141" s="10">
        <v>206</v>
      </c>
      <c r="R141" s="10">
        <v>20</v>
      </c>
      <c r="S141" s="10">
        <v>47</v>
      </c>
      <c r="T141" s="1"/>
      <c r="U141" s="1"/>
      <c r="V141" s="1"/>
      <c r="W141" s="1"/>
      <c r="X141" s="1"/>
      <c r="Y141" s="1"/>
      <c r="Z141" s="1"/>
    </row>
    <row r="142" spans="1:26" ht="15.75" customHeight="1">
      <c r="A142" s="67">
        <v>137</v>
      </c>
      <c r="B142" s="10" t="s">
        <v>22</v>
      </c>
      <c r="C142" s="10" t="s">
        <v>290</v>
      </c>
      <c r="D142" s="10" t="s">
        <v>156</v>
      </c>
      <c r="E142" s="11"/>
      <c r="F142" s="10"/>
      <c r="G142" s="10"/>
      <c r="H142" s="12" t="s">
        <v>291</v>
      </c>
      <c r="I142" s="10">
        <v>35</v>
      </c>
      <c r="J142" s="10">
        <v>38</v>
      </c>
      <c r="K142" s="10">
        <v>40</v>
      </c>
      <c r="L142" s="10">
        <v>50</v>
      </c>
      <c r="M142" s="10">
        <v>88</v>
      </c>
      <c r="N142" s="10">
        <v>147</v>
      </c>
      <c r="O142" s="10">
        <v>177</v>
      </c>
      <c r="P142" s="10">
        <v>206</v>
      </c>
      <c r="Q142" s="10">
        <v>206</v>
      </c>
      <c r="R142" s="10">
        <v>20</v>
      </c>
      <c r="S142" s="10">
        <v>47</v>
      </c>
      <c r="T142" s="1"/>
      <c r="U142" s="1"/>
      <c r="V142" s="1"/>
      <c r="W142" s="1"/>
      <c r="X142" s="1"/>
      <c r="Y142" s="1"/>
      <c r="Z142" s="1"/>
    </row>
    <row r="143" spans="1:26" ht="15.75" customHeight="1">
      <c r="A143" s="67">
        <v>138</v>
      </c>
      <c r="B143" s="10" t="s">
        <v>22</v>
      </c>
      <c r="C143" s="10" t="s">
        <v>292</v>
      </c>
      <c r="D143" s="10" t="s">
        <v>156</v>
      </c>
      <c r="E143" s="11"/>
      <c r="F143" s="10"/>
      <c r="G143" s="10"/>
      <c r="H143" s="12" t="s">
        <v>293</v>
      </c>
      <c r="I143" s="10">
        <v>35</v>
      </c>
      <c r="J143" s="10">
        <v>38</v>
      </c>
      <c r="K143" s="10">
        <v>40</v>
      </c>
      <c r="L143" s="10">
        <v>50</v>
      </c>
      <c r="M143" s="10">
        <v>88</v>
      </c>
      <c r="N143" s="10">
        <v>147</v>
      </c>
      <c r="O143" s="10">
        <v>177</v>
      </c>
      <c r="P143" s="10">
        <v>206</v>
      </c>
      <c r="Q143" s="10">
        <v>206</v>
      </c>
      <c r="R143" s="10">
        <v>20</v>
      </c>
      <c r="S143" s="10">
        <v>47</v>
      </c>
      <c r="T143" s="1"/>
      <c r="U143" s="1"/>
      <c r="V143" s="1"/>
      <c r="W143" s="1"/>
      <c r="X143" s="1"/>
      <c r="Y143" s="1"/>
      <c r="Z143" s="1"/>
    </row>
    <row r="144" spans="1:26" ht="15.75" customHeight="1">
      <c r="A144" s="67">
        <v>139</v>
      </c>
      <c r="B144" s="10" t="s">
        <v>22</v>
      </c>
      <c r="C144" s="10" t="s">
        <v>294</v>
      </c>
      <c r="D144" s="10" t="s">
        <v>156</v>
      </c>
      <c r="E144" s="11"/>
      <c r="F144" s="10"/>
      <c r="G144" s="10"/>
      <c r="H144" s="12" t="s">
        <v>295</v>
      </c>
      <c r="I144" s="11">
        <v>95</v>
      </c>
      <c r="J144" s="10">
        <v>95</v>
      </c>
      <c r="K144" s="10">
        <v>142</v>
      </c>
      <c r="L144" s="10">
        <v>142</v>
      </c>
      <c r="M144" s="10">
        <v>184</v>
      </c>
      <c r="N144" s="10">
        <v>184</v>
      </c>
      <c r="O144" s="10">
        <v>1</v>
      </c>
      <c r="P144" s="10">
        <v>1</v>
      </c>
      <c r="Q144" s="10">
        <v>1</v>
      </c>
      <c r="R144" s="10">
        <v>50</v>
      </c>
      <c r="S144" s="10">
        <v>80</v>
      </c>
      <c r="T144" s="1"/>
      <c r="U144" s="1"/>
      <c r="V144" s="1"/>
      <c r="W144" s="1"/>
      <c r="X144" s="1"/>
      <c r="Y144" s="1"/>
      <c r="Z144" s="1"/>
    </row>
    <row r="145" spans="1:26" ht="15.75" customHeight="1">
      <c r="A145" s="67">
        <v>140</v>
      </c>
      <c r="B145" s="10" t="s">
        <v>22</v>
      </c>
      <c r="C145" s="10" t="s">
        <v>296</v>
      </c>
      <c r="D145" s="10" t="s">
        <v>156</v>
      </c>
      <c r="E145" s="11"/>
      <c r="F145" s="10"/>
      <c r="G145" s="10"/>
      <c r="H145" s="12" t="s">
        <v>297</v>
      </c>
      <c r="I145" s="10">
        <v>60</v>
      </c>
      <c r="J145" s="10">
        <v>60</v>
      </c>
      <c r="K145" s="10">
        <v>71</v>
      </c>
      <c r="L145" s="10">
        <v>71</v>
      </c>
      <c r="M145" s="10">
        <v>147</v>
      </c>
      <c r="N145" s="10">
        <v>147</v>
      </c>
      <c r="O145" s="10">
        <v>1</v>
      </c>
      <c r="P145" s="10">
        <v>1</v>
      </c>
      <c r="Q145" s="10">
        <v>1</v>
      </c>
      <c r="R145" s="10">
        <v>50</v>
      </c>
      <c r="S145" s="10">
        <v>60</v>
      </c>
      <c r="T145" s="1"/>
      <c r="U145" s="1"/>
      <c r="V145" s="1"/>
      <c r="W145" s="1"/>
      <c r="X145" s="1"/>
      <c r="Y145" s="1"/>
      <c r="Z145" s="1"/>
    </row>
    <row r="146" spans="1:26" ht="15.75" customHeight="1">
      <c r="A146" s="67">
        <v>141</v>
      </c>
      <c r="B146" s="10" t="s">
        <v>32</v>
      </c>
      <c r="C146" s="10" t="s">
        <v>298</v>
      </c>
      <c r="D146" s="10" t="s">
        <v>299</v>
      </c>
      <c r="E146" s="11"/>
      <c r="F146" s="10"/>
      <c r="G146" s="10"/>
      <c r="H146" s="12" t="s">
        <v>300</v>
      </c>
      <c r="I146" s="10">
        <v>71</v>
      </c>
      <c r="J146" s="10">
        <v>71</v>
      </c>
      <c r="K146" s="10">
        <v>94</v>
      </c>
      <c r="L146" s="10">
        <v>94</v>
      </c>
      <c r="M146" s="10">
        <v>165</v>
      </c>
      <c r="N146" s="10">
        <v>295</v>
      </c>
      <c r="O146" s="10">
        <v>354</v>
      </c>
      <c r="P146" s="10">
        <v>412</v>
      </c>
      <c r="Q146" s="18">
        <v>1</v>
      </c>
      <c r="R146" s="18">
        <v>20</v>
      </c>
      <c r="S146" s="10">
        <v>47</v>
      </c>
      <c r="T146" s="1"/>
      <c r="U146" s="1"/>
      <c r="V146" s="1"/>
      <c r="W146" s="1"/>
      <c r="X146" s="1"/>
      <c r="Y146" s="1"/>
      <c r="Z146" s="1"/>
    </row>
    <row r="147" spans="1:26" ht="15.75" customHeight="1">
      <c r="A147" s="67">
        <v>142</v>
      </c>
      <c r="B147" s="10" t="s">
        <v>32</v>
      </c>
      <c r="C147" s="10" t="s">
        <v>298</v>
      </c>
      <c r="D147" s="10" t="s">
        <v>36</v>
      </c>
      <c r="E147" s="11"/>
      <c r="F147" s="10"/>
      <c r="G147" s="10"/>
      <c r="H147" s="12" t="s">
        <v>301</v>
      </c>
      <c r="I147" s="10">
        <v>91</v>
      </c>
      <c r="J147" s="13">
        <v>91</v>
      </c>
      <c r="K147" s="13">
        <v>114</v>
      </c>
      <c r="L147" s="13">
        <v>114</v>
      </c>
      <c r="M147" s="13">
        <v>255</v>
      </c>
      <c r="N147" s="10">
        <v>383</v>
      </c>
      <c r="O147" s="10">
        <v>504</v>
      </c>
      <c r="P147" s="13">
        <v>618</v>
      </c>
      <c r="Q147" s="18">
        <v>1</v>
      </c>
      <c r="R147" s="18">
        <v>40</v>
      </c>
      <c r="S147" s="10">
        <v>65</v>
      </c>
      <c r="T147" s="1"/>
      <c r="U147" s="1"/>
      <c r="V147" s="1"/>
      <c r="W147" s="1"/>
      <c r="X147" s="1"/>
      <c r="Y147" s="1"/>
      <c r="Z147" s="1"/>
    </row>
    <row r="148" spans="1:26" ht="15.75" customHeight="1">
      <c r="A148" s="67">
        <v>143</v>
      </c>
      <c r="B148" s="14" t="s">
        <v>302</v>
      </c>
      <c r="C148" s="14" t="s">
        <v>303</v>
      </c>
      <c r="D148" s="10" t="s">
        <v>36</v>
      </c>
      <c r="E148" s="11"/>
      <c r="F148" s="10"/>
      <c r="G148" s="10"/>
      <c r="H148" s="12" t="s">
        <v>304</v>
      </c>
      <c r="I148" s="10">
        <v>91</v>
      </c>
      <c r="J148" s="13">
        <v>91</v>
      </c>
      <c r="K148" s="13">
        <v>114</v>
      </c>
      <c r="L148" s="13">
        <v>114</v>
      </c>
      <c r="M148" s="13">
        <v>255</v>
      </c>
      <c r="N148" s="10">
        <v>383</v>
      </c>
      <c r="O148" s="10">
        <v>504</v>
      </c>
      <c r="P148" s="13">
        <v>618</v>
      </c>
      <c r="Q148" s="18">
        <v>1</v>
      </c>
      <c r="R148" s="18">
        <v>40</v>
      </c>
      <c r="S148" s="18">
        <v>65</v>
      </c>
      <c r="T148" s="1"/>
      <c r="U148" s="1"/>
      <c r="V148" s="1"/>
      <c r="W148" s="1"/>
      <c r="X148" s="1"/>
      <c r="Y148" s="1"/>
      <c r="Z148" s="1"/>
    </row>
    <row r="149" spans="1:26" ht="15.75" customHeight="1">
      <c r="A149" s="67">
        <v>144</v>
      </c>
      <c r="B149" s="14" t="s">
        <v>303</v>
      </c>
      <c r="C149" s="14" t="s">
        <v>305</v>
      </c>
      <c r="D149" s="10" t="s">
        <v>156</v>
      </c>
      <c r="E149" s="11"/>
      <c r="F149" s="10"/>
      <c r="G149" s="10"/>
      <c r="H149" s="12" t="s">
        <v>306</v>
      </c>
      <c r="I149" s="18">
        <v>88</v>
      </c>
      <c r="J149" s="18">
        <v>88</v>
      </c>
      <c r="K149" s="18">
        <v>118</v>
      </c>
      <c r="L149" s="18">
        <v>118</v>
      </c>
      <c r="M149" s="10">
        <v>165</v>
      </c>
      <c r="N149" s="10">
        <v>295</v>
      </c>
      <c r="O149" s="10">
        <v>354</v>
      </c>
      <c r="P149" s="10">
        <v>412</v>
      </c>
      <c r="Q149" s="18">
        <v>1</v>
      </c>
      <c r="R149" s="18">
        <v>20</v>
      </c>
      <c r="S149" s="18">
        <v>47</v>
      </c>
      <c r="T149" s="1"/>
      <c r="U149" s="1"/>
      <c r="V149" s="1"/>
      <c r="W149" s="1"/>
      <c r="X149" s="1"/>
      <c r="Y149" s="1"/>
      <c r="Z149" s="1"/>
    </row>
    <row r="150" spans="1:26" ht="15.75" customHeight="1">
      <c r="A150" s="67">
        <v>145</v>
      </c>
      <c r="B150" s="14" t="s">
        <v>302</v>
      </c>
      <c r="C150" s="14" t="s">
        <v>50</v>
      </c>
      <c r="D150" s="10" t="s">
        <v>36</v>
      </c>
      <c r="E150" s="11"/>
      <c r="F150" s="10"/>
      <c r="G150" s="10"/>
      <c r="H150" s="12" t="s">
        <v>307</v>
      </c>
      <c r="I150" s="10">
        <v>91</v>
      </c>
      <c r="J150" s="13">
        <v>91</v>
      </c>
      <c r="K150" s="13">
        <v>114</v>
      </c>
      <c r="L150" s="13">
        <v>114</v>
      </c>
      <c r="M150" s="13">
        <v>255</v>
      </c>
      <c r="N150" s="10">
        <v>383</v>
      </c>
      <c r="O150" s="10">
        <v>504</v>
      </c>
      <c r="P150" s="13">
        <v>618</v>
      </c>
      <c r="Q150" s="18">
        <v>1</v>
      </c>
      <c r="R150" s="18">
        <v>40</v>
      </c>
      <c r="S150" s="18">
        <v>65</v>
      </c>
      <c r="T150" s="1"/>
      <c r="U150" s="1"/>
      <c r="V150" s="1"/>
      <c r="W150" s="1"/>
      <c r="X150" s="1"/>
      <c r="Y150" s="1"/>
      <c r="Z150" s="1"/>
    </row>
    <row r="151" spans="1:26" ht="15.75" customHeight="1">
      <c r="A151" s="67">
        <v>146</v>
      </c>
      <c r="B151" s="14" t="s">
        <v>50</v>
      </c>
      <c r="C151" s="14" t="s">
        <v>305</v>
      </c>
      <c r="D151" s="10" t="s">
        <v>156</v>
      </c>
      <c r="E151" s="11"/>
      <c r="F151" s="10"/>
      <c r="G151" s="10"/>
      <c r="H151" s="12" t="s">
        <v>308</v>
      </c>
      <c r="I151" s="18">
        <v>88</v>
      </c>
      <c r="J151" s="18">
        <v>88</v>
      </c>
      <c r="K151" s="18">
        <v>118</v>
      </c>
      <c r="L151" s="18">
        <v>118</v>
      </c>
      <c r="M151" s="10">
        <v>165</v>
      </c>
      <c r="N151" s="10">
        <v>295</v>
      </c>
      <c r="O151" s="10">
        <v>354</v>
      </c>
      <c r="P151" s="10">
        <v>412</v>
      </c>
      <c r="Q151" s="18">
        <v>1</v>
      </c>
      <c r="R151" s="18">
        <v>20</v>
      </c>
      <c r="S151" s="18">
        <v>47</v>
      </c>
      <c r="T151" s="1"/>
      <c r="U151" s="1"/>
      <c r="V151" s="1"/>
      <c r="W151" s="1"/>
      <c r="X151" s="1"/>
      <c r="Y151" s="1"/>
      <c r="Z151" s="1"/>
    </row>
    <row r="152" spans="1:26" ht="15.75" customHeight="1">
      <c r="A152" s="67">
        <v>147</v>
      </c>
      <c r="B152" s="10" t="s">
        <v>22</v>
      </c>
      <c r="C152" s="10" t="s">
        <v>309</v>
      </c>
      <c r="D152" s="10" t="s">
        <v>156</v>
      </c>
      <c r="E152" s="11"/>
      <c r="F152" s="7"/>
      <c r="G152" s="7"/>
      <c r="H152" s="12" t="s">
        <v>310</v>
      </c>
      <c r="I152" s="18">
        <v>65</v>
      </c>
      <c r="J152" s="18">
        <v>65</v>
      </c>
      <c r="K152" s="18">
        <v>85</v>
      </c>
      <c r="L152" s="18">
        <v>85</v>
      </c>
      <c r="M152" s="18">
        <v>106</v>
      </c>
      <c r="N152" s="18">
        <v>1</v>
      </c>
      <c r="O152" s="18">
        <v>1</v>
      </c>
      <c r="P152" s="18">
        <v>1</v>
      </c>
      <c r="Q152" s="18">
        <v>1</v>
      </c>
      <c r="R152" s="18">
        <v>20</v>
      </c>
      <c r="S152" s="18">
        <v>47</v>
      </c>
      <c r="T152" s="1"/>
      <c r="U152" s="1"/>
      <c r="V152" s="1"/>
      <c r="W152" s="1"/>
      <c r="X152" s="1"/>
      <c r="Y152" s="1"/>
      <c r="Z152" s="1"/>
    </row>
    <row r="153" spans="1:26" ht="15.75" customHeight="1">
      <c r="A153" s="67">
        <v>148</v>
      </c>
      <c r="B153" s="19" t="s">
        <v>311</v>
      </c>
      <c r="C153" s="19" t="s">
        <v>312</v>
      </c>
      <c r="D153" s="14" t="s">
        <v>313</v>
      </c>
      <c r="E153" s="1"/>
      <c r="F153" s="1"/>
      <c r="G153" s="1"/>
      <c r="H153" s="20" t="s">
        <v>314</v>
      </c>
      <c r="I153" s="13">
        <v>41</v>
      </c>
      <c r="J153" s="13">
        <v>47</v>
      </c>
      <c r="K153" s="13">
        <v>53</v>
      </c>
      <c r="L153" s="13">
        <v>65</v>
      </c>
      <c r="M153" s="13">
        <v>165</v>
      </c>
      <c r="N153" s="10">
        <v>236</v>
      </c>
      <c r="O153" s="10">
        <v>295</v>
      </c>
      <c r="P153" s="10">
        <v>354</v>
      </c>
      <c r="Q153" s="13">
        <v>354</v>
      </c>
      <c r="R153" s="13">
        <v>20</v>
      </c>
      <c r="S153" s="13">
        <v>47</v>
      </c>
      <c r="T153" s="1"/>
      <c r="U153" s="1"/>
      <c r="V153" s="1"/>
      <c r="W153" s="1"/>
      <c r="X153" s="1"/>
      <c r="Y153" s="1"/>
      <c r="Z153" s="1"/>
    </row>
    <row r="154" spans="1:26" ht="15.75" customHeight="1">
      <c r="A154" s="67">
        <v>149</v>
      </c>
      <c r="B154" s="19" t="s">
        <v>315</v>
      </c>
      <c r="C154" s="19" t="s">
        <v>316</v>
      </c>
      <c r="D154" s="14" t="s">
        <v>23</v>
      </c>
      <c r="E154" s="1"/>
      <c r="F154" s="1"/>
      <c r="G154" s="1"/>
      <c r="H154" s="20" t="s">
        <v>317</v>
      </c>
      <c r="I154" s="13">
        <v>41</v>
      </c>
      <c r="J154" s="13">
        <v>47</v>
      </c>
      <c r="K154" s="13">
        <v>53</v>
      </c>
      <c r="L154" s="13">
        <v>65</v>
      </c>
      <c r="M154" s="13">
        <v>165</v>
      </c>
      <c r="N154" s="10">
        <v>236</v>
      </c>
      <c r="O154" s="10">
        <v>295</v>
      </c>
      <c r="P154" s="10">
        <v>354</v>
      </c>
      <c r="Q154" s="13">
        <v>354</v>
      </c>
      <c r="R154" s="13">
        <v>20</v>
      </c>
      <c r="S154" s="13">
        <v>47</v>
      </c>
      <c r="T154" s="1"/>
      <c r="U154" s="1"/>
      <c r="V154" s="1"/>
      <c r="W154" s="1"/>
      <c r="X154" s="1"/>
      <c r="Y154" s="1"/>
      <c r="Z154" s="1"/>
    </row>
    <row r="155" spans="1:26" ht="15.75" customHeight="1">
      <c r="A155" s="67">
        <v>150</v>
      </c>
      <c r="B155" s="19" t="s">
        <v>32</v>
      </c>
      <c r="C155" s="19" t="s">
        <v>318</v>
      </c>
      <c r="D155" s="14" t="s">
        <v>36</v>
      </c>
      <c r="E155" s="1"/>
      <c r="F155" s="1"/>
      <c r="G155" s="1"/>
      <c r="H155" s="21" t="s">
        <v>319</v>
      </c>
      <c r="I155" s="10">
        <v>113</v>
      </c>
      <c r="J155" s="13">
        <v>119</v>
      </c>
      <c r="K155" s="13">
        <v>137</v>
      </c>
      <c r="L155" s="13">
        <v>148</v>
      </c>
      <c r="M155" s="13">
        <v>325</v>
      </c>
      <c r="N155" s="10">
        <v>442</v>
      </c>
      <c r="O155" s="10">
        <v>709</v>
      </c>
      <c r="P155" s="13">
        <v>677</v>
      </c>
      <c r="Q155" s="13">
        <v>677</v>
      </c>
      <c r="R155" s="10">
        <v>40</v>
      </c>
      <c r="S155" s="10">
        <v>65</v>
      </c>
      <c r="T155" s="1"/>
      <c r="U155" s="1"/>
      <c r="V155" s="1"/>
      <c r="W155" s="1"/>
      <c r="X155" s="1"/>
      <c r="Y155" s="1"/>
      <c r="Z155" s="1"/>
    </row>
    <row r="156" spans="1:26" ht="15.75" customHeight="1">
      <c r="A156" s="67">
        <v>151</v>
      </c>
      <c r="B156" s="10" t="s">
        <v>28</v>
      </c>
      <c r="C156" s="10" t="s">
        <v>76</v>
      </c>
      <c r="D156" s="10" t="s">
        <v>299</v>
      </c>
      <c r="E156" s="10"/>
      <c r="F156" s="10"/>
      <c r="G156" s="10"/>
      <c r="H156" s="12" t="s">
        <v>320</v>
      </c>
      <c r="I156" s="1"/>
      <c r="J156" s="1"/>
      <c r="K156" s="1"/>
      <c r="L156" s="1"/>
      <c r="M156" s="1"/>
      <c r="N156" s="1"/>
      <c r="O156" s="1"/>
      <c r="P156" s="1"/>
      <c r="Q156" s="1"/>
      <c r="R156" s="1"/>
      <c r="S156" s="1"/>
      <c r="T156" s="1"/>
      <c r="U156" s="1"/>
      <c r="V156" s="1"/>
      <c r="W156" s="1"/>
      <c r="X156" s="1"/>
      <c r="Y156" s="1"/>
      <c r="Z156" s="1"/>
    </row>
    <row r="157" spans="1:26" ht="15.75" customHeight="1">
      <c r="A157" s="67">
        <v>152</v>
      </c>
      <c r="B157" s="10" t="s">
        <v>22</v>
      </c>
      <c r="C157" s="10" t="s">
        <v>326</v>
      </c>
      <c r="D157" s="10" t="s">
        <v>299</v>
      </c>
      <c r="E157" s="11"/>
      <c r="F157" s="7"/>
      <c r="G157" s="7"/>
      <c r="H157" s="12" t="s">
        <v>322</v>
      </c>
      <c r="I157" s="18">
        <v>35</v>
      </c>
      <c r="J157" s="18">
        <v>35</v>
      </c>
      <c r="K157" s="18">
        <v>47</v>
      </c>
      <c r="L157" s="18">
        <v>47</v>
      </c>
      <c r="M157" s="18">
        <v>71</v>
      </c>
      <c r="N157" s="18">
        <v>1</v>
      </c>
      <c r="O157" s="18">
        <v>1</v>
      </c>
      <c r="P157" s="18">
        <v>1</v>
      </c>
      <c r="Q157" s="18">
        <v>1</v>
      </c>
      <c r="R157" s="18">
        <v>20</v>
      </c>
      <c r="S157" s="18">
        <v>47</v>
      </c>
      <c r="T157" s="1"/>
      <c r="U157" s="1"/>
      <c r="V157" s="1"/>
      <c r="W157" s="1"/>
      <c r="X157" s="1"/>
      <c r="Y157" s="1"/>
      <c r="Z157" s="1"/>
    </row>
    <row r="158" spans="1:26" ht="15.75" customHeight="1">
      <c r="A158" s="67">
        <v>153</v>
      </c>
      <c r="B158" s="10" t="s">
        <v>22</v>
      </c>
      <c r="C158" s="10" t="s">
        <v>327</v>
      </c>
      <c r="D158" s="10" t="s">
        <v>299</v>
      </c>
      <c r="E158" s="11"/>
      <c r="F158" s="7"/>
      <c r="G158" s="7"/>
      <c r="H158" s="12" t="s">
        <v>324</v>
      </c>
      <c r="I158" s="18">
        <v>35</v>
      </c>
      <c r="J158" s="18">
        <v>35</v>
      </c>
      <c r="K158" s="18">
        <v>47</v>
      </c>
      <c r="L158" s="18">
        <v>47</v>
      </c>
      <c r="M158" s="18">
        <v>71</v>
      </c>
      <c r="N158" s="18">
        <v>1</v>
      </c>
      <c r="O158" s="18">
        <v>1</v>
      </c>
      <c r="P158" s="18">
        <v>1</v>
      </c>
      <c r="Q158" s="18">
        <v>1</v>
      </c>
      <c r="R158" s="18">
        <v>20</v>
      </c>
      <c r="S158" s="18">
        <v>47</v>
      </c>
      <c r="T158" s="1"/>
      <c r="U158" s="1"/>
      <c r="V158" s="1"/>
      <c r="W158" s="1"/>
      <c r="X158" s="1"/>
      <c r="Y158" s="1"/>
      <c r="Z158" s="1"/>
    </row>
    <row r="159" spans="1:26" ht="15.75" customHeight="1">
      <c r="A159" s="1"/>
      <c r="B159" s="1"/>
      <c r="C159" s="1"/>
      <c r="D159" s="1"/>
      <c r="E159" s="1"/>
      <c r="F159" s="1"/>
      <c r="G159" s="1"/>
      <c r="H159" s="17"/>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7"/>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7"/>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7"/>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7"/>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7"/>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7"/>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7"/>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7"/>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7"/>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7"/>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7"/>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7"/>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7"/>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7"/>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7"/>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7"/>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7"/>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7"/>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7"/>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7"/>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7"/>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7"/>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7"/>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7"/>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7"/>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7"/>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7"/>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7"/>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7"/>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7"/>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7"/>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7"/>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7"/>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7"/>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7"/>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7"/>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7"/>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7"/>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7"/>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7"/>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7"/>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7"/>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7"/>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7"/>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7"/>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7"/>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7"/>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7"/>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7"/>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7"/>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7"/>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7"/>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7"/>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7"/>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7"/>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7"/>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7"/>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7"/>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7"/>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7"/>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7"/>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7"/>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7"/>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7"/>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7"/>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7"/>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7"/>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7"/>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7"/>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7"/>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7"/>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7"/>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7"/>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7"/>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7"/>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7"/>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7"/>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7"/>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7"/>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7"/>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7"/>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7"/>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7"/>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7"/>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7"/>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7"/>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7"/>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7"/>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7"/>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7"/>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7"/>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7"/>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7"/>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7"/>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7"/>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7"/>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7"/>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7"/>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7"/>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7"/>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7"/>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7"/>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7"/>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7"/>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7"/>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7"/>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7"/>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7"/>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7"/>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7"/>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7"/>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7"/>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7"/>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7"/>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7"/>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7"/>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7"/>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7"/>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7"/>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7"/>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7"/>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7"/>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7"/>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7"/>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7"/>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7"/>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7"/>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7"/>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7"/>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7"/>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7"/>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7"/>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7"/>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7"/>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7"/>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7"/>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7"/>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7"/>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7"/>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7"/>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7"/>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7"/>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7"/>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7"/>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7"/>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7"/>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7"/>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7"/>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7"/>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7"/>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7"/>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7"/>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7"/>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7"/>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7"/>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7"/>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7"/>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7"/>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7"/>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7"/>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7"/>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7"/>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7"/>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7"/>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7"/>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7"/>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7"/>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7"/>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7"/>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7"/>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7"/>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7"/>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7"/>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7"/>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7"/>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7"/>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7"/>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7"/>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7"/>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7"/>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7"/>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7"/>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7"/>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7"/>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7"/>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7"/>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7"/>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7"/>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7"/>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7"/>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7"/>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7"/>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7"/>
      <c r="I352" s="1"/>
      <c r="J352" s="1"/>
      <c r="K352" s="1"/>
      <c r="L352" s="1"/>
      <c r="M352" s="1"/>
      <c r="N352" s="1"/>
      <c r="O352" s="1"/>
      <c r="P352" s="1"/>
      <c r="Q352" s="1"/>
      <c r="R352" s="1"/>
      <c r="S352" s="1"/>
      <c r="T352" s="1"/>
      <c r="U352" s="1"/>
      <c r="V352" s="1"/>
      <c r="W352" s="1"/>
      <c r="X352" s="1"/>
      <c r="Y352" s="1"/>
      <c r="Z352" s="1"/>
    </row>
    <row r="353" spans="1:26" ht="12.75" customHeight="1">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12.75" customHeight="1">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12.75" customHeight="1">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12.75" customHeight="1">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12.75" customHeight="1">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12.75" customHeight="1">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12.75" customHeight="1">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12.75" customHeight="1">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12.75" customHeight="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12.75" customHeight="1">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12.75" customHeight="1">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12.75" customHeight="1">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12.75" customHeight="1">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12.75" customHeight="1">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12.75" customHeight="1">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12.75" customHeight="1">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12.75" customHeight="1">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12.75" customHeight="1">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12.75" customHeight="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12.75" customHeight="1">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12.75" customHeight="1">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12.75" customHeight="1">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12.75" customHeight="1">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12.75" customHeight="1">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12.75" customHeight="1">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12.75" customHeight="1">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12.75" customHeight="1">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12.75" customHeight="1">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12.75" customHeight="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12.75" customHeight="1">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12.75" customHeight="1">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12.75" customHeight="1">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12.75" customHeight="1">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12.75" customHeight="1">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12.75" customHeight="1">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12.75" customHeight="1">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12.75" customHeight="1">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12.75" customHeight="1">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12.75" customHeight="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12.75" customHeight="1">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12.75" customHeight="1">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12.75" customHeight="1">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12.75" customHeight="1">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12.75" customHeight="1">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12.75" customHeight="1">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12.75" customHeight="1">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12.75" customHeight="1">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12.75" customHeight="1">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12.75" customHeight="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12.75" customHeight="1">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12.75" customHeight="1">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12.75" customHeight="1">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12.75" customHeight="1">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12.75" customHeight="1">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12.75" customHeight="1">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12.75" customHeight="1">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12.75" customHeight="1">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12.75" customHeight="1">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12.75" customHeight="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12.75" customHeight="1">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12.75" customHeight="1">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12.75" customHeight="1">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12.75" customHeight="1">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12.75" customHeight="1">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12.75" customHeight="1">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12.75" customHeight="1">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12.75" customHeight="1">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12.75" customHeight="1">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12.75" customHeight="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12.75" customHeight="1">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12.75" customHeight="1">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12.75" customHeight="1">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12.75" customHeight="1">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12.75" customHeight="1">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12.75" customHeight="1">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12.75" customHeight="1">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12.75" customHeight="1">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12.75" customHeight="1">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12.75" customHeight="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12.75" customHeight="1">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12.75" customHeight="1">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12.75" customHeight="1">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12.75" customHeight="1">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12.75" customHeight="1">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12.75" customHeight="1">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12.75" customHeight="1">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12.75" customHeight="1">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12.75" customHeight="1">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12.75" customHeight="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12.75" customHeight="1">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12.75" customHeight="1">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12.75" customHeight="1">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12.75" customHeight="1">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12.75" customHeight="1">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12.75" customHeight="1">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12.75" customHeight="1">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12.75" customHeight="1">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12.75" customHeight="1">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12.75" customHeight="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12.75" customHeight="1">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12.75" customHeight="1">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12.75" customHeight="1">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12.75" customHeight="1">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12.75" customHeight="1">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12.75" customHeight="1">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12.75" customHeight="1">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12.75" customHeight="1">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12.75" customHeight="1">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12.75" customHeight="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12.75" customHeight="1">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12.75" customHeight="1">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12.75" customHeight="1">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12.75" customHeight="1">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12.75" customHeight="1">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12.75" customHeight="1">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12.75" customHeight="1">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12.75" customHeight="1">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12.75" customHeight="1">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12.75" customHeight="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12.75" customHeight="1">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12.75" customHeight="1">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12.75" customHeight="1">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12.75" customHeight="1">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12.75" customHeight="1">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12.75" customHeight="1">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12.75" customHeight="1">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12.75" customHeight="1">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12.75" customHeight="1">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12.75" customHeight="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12.75" customHeight="1">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12.75" customHeight="1">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12.75" customHeight="1">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12.75" customHeight="1">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12.75" customHeight="1">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12.75" customHeight="1">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12.75" customHeight="1">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12.75" customHeight="1">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12.75" customHeight="1">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12.75" customHeight="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12.75" customHeight="1">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12.75" customHeight="1">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12.75" customHeight="1">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12.75" customHeight="1">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12.75" customHeight="1">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12.75" customHeight="1">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12.75" customHeight="1">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12.75" customHeight="1">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12.75" customHeight="1">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12.75" customHeight="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12.75" customHeight="1">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12.75" customHeight="1">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12.75" customHeight="1">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12.75" customHeight="1">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12.75" customHeight="1">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12.75" customHeight="1">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12.75" customHeight="1">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12.75" customHeight="1">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12.75" customHeight="1">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12.75" customHeight="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12.75" customHeight="1">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12.75" customHeight="1">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12.75" customHeight="1">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12.75" customHeight="1">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12.75" customHeight="1">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12.75" customHeight="1">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12.75" customHeight="1">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12.75" customHeight="1">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12.75" customHeight="1">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12.75" customHeight="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12.75" customHeight="1">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12.75" customHeight="1">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12.75" customHeight="1">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12.75" customHeight="1">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12.75" customHeight="1">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12.75" customHeight="1">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12.75" customHeight="1">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12.75" customHeight="1">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12.75" customHeight="1">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12.75" customHeight="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12.75" customHeight="1">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12.75" customHeight="1">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12.75" customHeight="1">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12.75" customHeight="1">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12.75" customHeight="1">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12.75" customHeight="1">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12.75" customHeight="1">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12.75" customHeight="1">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12.75" customHeight="1">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12.75" customHeight="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12.75" customHeight="1">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12.75" customHeight="1">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12.75" customHeight="1">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12.75" customHeight="1">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12.75" customHeight="1">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12.75" customHeight="1">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12.75" customHeight="1">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12.75" customHeight="1">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12.75" customHeight="1">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12.75" customHeight="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12.75" customHeight="1">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12.75" customHeight="1">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12.75" customHeight="1">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12.75" customHeight="1">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12.75" customHeight="1">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12.75" customHeight="1">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12.75" customHeight="1">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12.75" customHeight="1">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12.75" customHeight="1">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12.75" customHeight="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12.75" customHeight="1">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12.75" customHeight="1">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12.75" customHeight="1">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12.75" customHeight="1">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12.75" customHeight="1">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12.75" customHeight="1">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12.75" customHeight="1">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12.75" customHeight="1">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12.75" customHeight="1">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12.75" customHeight="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12.75" customHeight="1">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12.75" customHeight="1">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12.75" customHeight="1">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12.75" customHeight="1">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12.75" customHeight="1">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12.75" customHeight="1">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12.75" customHeight="1">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12.75" customHeight="1">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12.75" customHeight="1">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12.75" customHeight="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12.75" customHeight="1">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12.75" customHeight="1">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12.75" customHeight="1">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12.75" customHeight="1">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12.75" customHeight="1">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12.75" customHeight="1">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12.75" customHeight="1">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12.75" customHeight="1">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12.75" customHeight="1">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12.75"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12.75"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12.75"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12.75"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12.75"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12.75"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12.75"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12.75"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12.75"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12.75"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12.75"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12.75"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12.75"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12.75"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12.75"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12.75"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12.75"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12.75"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12.75"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12.75"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12.75"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12.75"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12.75"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12.75"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12.75"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12.75"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12.75"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12.75"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12.75"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12.75"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12.75"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12.75"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12.75"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12.75"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12.75"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12.75"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12.75"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12.75"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12.75"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12.75"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12.75"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12.75"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12.75"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12.75"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12.75"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12.75"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12.75"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12.75"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12.75"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12.75"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12.75"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12.75"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12.75"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12.75"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12.75"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12.75"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12.75"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12.75"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12.75"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12.75"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12.75"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12.75"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12.75"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12.75"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12.75"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12.75"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12.75"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12.75"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12.75"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12.75"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12.75"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12.75"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12.75"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12.75"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12.75"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12.75"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12.75" customHeight="1">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12.75" customHeight="1">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12.75" customHeight="1">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12.75" customHeight="1">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12.75" customHeight="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12.75" customHeight="1">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12.75" customHeight="1">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12.75" customHeight="1">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12.75" customHeight="1">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12.75" customHeight="1">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12.75" customHeight="1">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12.75" customHeight="1">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12.75" customHeight="1">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12.75" customHeight="1">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12.75" customHeight="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12.75" customHeight="1">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12.75" customHeight="1">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12.75" customHeight="1">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12.75" customHeight="1">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12.75" customHeight="1">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12.75" customHeight="1">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12.75" customHeight="1">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12.75" customHeight="1">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12.75" customHeight="1">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12.75" customHeight="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12.75" customHeight="1">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12.75" customHeight="1">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12.75" customHeight="1">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12.75" customHeight="1">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12.75" customHeight="1">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12.75" customHeight="1">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12.75" customHeight="1">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12.75" customHeight="1">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12.75" customHeight="1">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12.75" customHeight="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12.75" customHeight="1">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12.75" customHeight="1">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12.75" customHeight="1">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12.75" customHeight="1">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12.75" customHeight="1">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12.75" customHeight="1">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12.75" customHeight="1">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12.75" customHeight="1">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12.75" customHeight="1">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12.75" customHeight="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12.75" customHeight="1">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12.75" customHeight="1">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12.75" customHeight="1">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12.75" customHeight="1">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12.75" customHeight="1">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12.75" customHeight="1">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12.75" customHeight="1">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12.75" customHeight="1">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12.75" customHeight="1">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12.75" customHeight="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12.75" customHeight="1">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12.75" customHeight="1">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12.75" customHeight="1">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12.75" customHeight="1">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12.75" customHeight="1">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12.75" customHeight="1">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12.75" customHeight="1">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12.75" customHeight="1">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12.75" customHeight="1">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12.75" customHeight="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12.75" customHeight="1">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12.75" customHeight="1">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12.75" customHeight="1">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12.75" customHeight="1">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12.75" customHeight="1">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12.75" customHeight="1">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12.75" customHeight="1">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12.75" customHeight="1">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12.75" customHeight="1">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12.75" customHeight="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12.75" customHeight="1">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12.75" customHeight="1">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12.75" customHeight="1">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12.75" customHeight="1">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12.75" customHeight="1">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12.75" customHeight="1">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12.75" customHeight="1">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12.75" customHeight="1">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12.75" customHeight="1">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12.75" customHeight="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12.75" customHeight="1">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12.75" customHeight="1">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12.75" customHeight="1">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12.75" customHeight="1">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12.75" customHeight="1">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12.75" customHeight="1">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12.75" customHeight="1">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12.75" customHeight="1">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12.75" customHeight="1">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12.75" customHeight="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12.75" customHeight="1">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12.75" customHeight="1">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12.75" customHeight="1">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12.75" customHeight="1">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12.75" customHeight="1">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12.75" customHeight="1">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12.75" customHeight="1">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12.75" customHeight="1">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12.75" customHeight="1">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12.75" customHeight="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12.75" customHeight="1">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12.75" customHeight="1">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12.75" customHeight="1">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12.75" customHeight="1">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12.75" customHeight="1">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12.75" customHeight="1">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12.75" customHeight="1">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12.75" customHeight="1">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12.75" customHeight="1">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12.75" customHeight="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12.75" customHeight="1">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12.75" customHeight="1">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12.75" customHeight="1">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12.75" customHeight="1">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12.75" customHeight="1">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12.75" customHeight="1">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12.75" customHeight="1">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12.75" customHeight="1">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12.75" customHeight="1">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12.75" customHeight="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12.75" customHeight="1">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12.75" customHeight="1">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12.75" customHeight="1">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12.75" customHeight="1">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12.75" customHeight="1">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12.75" customHeight="1">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12.75" customHeight="1">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12.75" customHeight="1">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12.75" customHeight="1">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12.75" customHeight="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12.75" customHeight="1">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12.75" customHeight="1">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12.75" customHeight="1">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12.75" customHeight="1">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12.75" customHeight="1">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12.75" customHeight="1">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12.75" customHeight="1">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12.75" customHeight="1">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12.75" customHeight="1">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12.75" customHeight="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12.75" customHeight="1">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12.75" customHeight="1">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12.75" customHeight="1">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12.75" customHeight="1">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12.75" customHeight="1">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12.75" customHeight="1">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12.75" customHeight="1">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12.75" customHeight="1">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12.75" customHeight="1">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12.75" customHeight="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12.75" customHeight="1">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12.75" customHeight="1">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12.75" customHeight="1">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12.75" customHeight="1">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12.75" customHeight="1">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12.75" customHeight="1">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12.75" customHeight="1">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12.75" customHeight="1">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12.75" customHeight="1">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12.75" customHeight="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12.75" customHeight="1">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12.75" customHeight="1">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12.75" customHeight="1">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12.75" customHeight="1">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12.75" customHeight="1">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12.75" customHeight="1">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12.75" customHeight="1">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12.75" customHeight="1">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12.75" customHeight="1">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12.75" customHeight="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12.75" customHeight="1">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12.75" customHeight="1">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12.75" customHeight="1">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12.75" customHeight="1">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12.75" customHeight="1">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12.75" customHeight="1">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12.75" customHeight="1">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12.75" customHeight="1">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12.75" customHeight="1">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12.75" customHeight="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12.75" customHeight="1">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12.75" customHeight="1">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12.75" customHeight="1">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12.75" customHeight="1">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12.75" customHeight="1">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12.75" customHeight="1">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12.75" customHeight="1">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12.75" customHeight="1">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12.75" customHeight="1">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12.75" customHeight="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12.75" customHeight="1">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12.75" customHeight="1">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12.75" customHeight="1">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12.75" customHeight="1">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12.75" customHeight="1">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12.75" customHeight="1">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12.75" customHeight="1">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12.75" customHeight="1">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12.75" customHeight="1">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12.75" customHeight="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12.75" customHeight="1">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12.75" customHeight="1">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12.75" customHeight="1">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12.75" customHeight="1">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12.75" customHeight="1">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12.75" customHeight="1">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12.75" customHeight="1">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12.75" customHeight="1">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12.75" customHeight="1">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12.75" customHeight="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12.75" customHeight="1">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12.75" customHeight="1">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12.75" customHeight="1">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12.75" customHeight="1">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12.75" customHeight="1">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12.75" customHeight="1">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12.75" customHeight="1">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12.75" customHeight="1">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12.75" customHeight="1">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12.75" customHeight="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12.75" customHeight="1">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12.75" customHeight="1">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12.75" customHeight="1">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12.75" customHeight="1">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12.75" customHeight="1">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12.75" customHeight="1">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12.75" customHeight="1">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12.75" customHeight="1">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12.75" customHeight="1">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12.75" customHeight="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12.75" customHeight="1">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12.75" customHeight="1">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12.75" customHeight="1">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12.75" customHeight="1">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12.75" customHeight="1">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12.75" customHeight="1">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12.75" customHeight="1">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12.75" customHeight="1">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12.75" customHeight="1">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12.75" customHeight="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12.75" customHeight="1">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12.75" customHeight="1">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12.75" customHeight="1">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12.75" customHeight="1">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12.75" customHeight="1">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12.75" customHeight="1">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12.75" customHeight="1">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12.75" customHeight="1">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12.75" customHeight="1">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12.75" customHeight="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12.75" customHeight="1">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12.75" customHeight="1">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12.75" customHeight="1">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12.75" customHeight="1">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12.75" customHeight="1">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12.75" customHeight="1">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12.75" customHeight="1">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12.75" customHeight="1">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12.75" customHeight="1">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12.75" customHeight="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12.75" customHeight="1">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12.75" customHeight="1">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12.75" customHeight="1">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12.75" customHeight="1">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12.75" customHeight="1">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12.75" customHeight="1">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12.75" customHeight="1">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12.75" customHeight="1">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12.75" customHeight="1">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12.75" customHeight="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12.75" customHeight="1">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12.75" customHeight="1">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12.75" customHeight="1">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12.75" customHeight="1">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12.75" customHeight="1">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12.75" customHeight="1">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12.75" customHeight="1">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12.75" customHeight="1">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12.75" customHeight="1">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12.75" customHeight="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12.75" customHeight="1">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12.75" customHeight="1">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12.75" customHeight="1">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12.75" customHeight="1">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12.75" customHeight="1">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12.75" customHeight="1">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12.75" customHeight="1">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12.75" customHeight="1">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12.75" customHeight="1">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12.75" customHeight="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12.75" customHeight="1">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12.75" customHeight="1">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12.75" customHeight="1">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12.75" customHeight="1">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12.75" customHeight="1">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12.75" customHeight="1">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12.75" customHeight="1">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12.75" customHeight="1">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12.75" customHeight="1">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12.75" customHeight="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12.75" customHeight="1">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12.75" customHeight="1">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12.75" customHeight="1">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12.75" customHeight="1">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12.75" customHeight="1">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12.75" customHeight="1">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12.75" customHeight="1">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12.75" customHeight="1">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12.75" customHeight="1">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12.75" customHeight="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12.75" customHeight="1">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12.75" customHeight="1">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12.75" customHeight="1">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12.75" customHeight="1">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12.75" customHeight="1">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12.75" customHeight="1">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12.75" customHeight="1">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12.75" customHeight="1">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12.75" customHeight="1">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12.75" customHeight="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12.75" customHeight="1">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12.75" customHeight="1">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12.75" customHeight="1">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12.75" customHeight="1">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12.75" customHeight="1">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12.75" customHeight="1">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12.75" customHeight="1">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sheetData>
  <mergeCells count="12">
    <mergeCell ref="F141:G141"/>
    <mergeCell ref="H1:H4"/>
    <mergeCell ref="I1:S1"/>
    <mergeCell ref="I2:S2"/>
    <mergeCell ref="I3:O3"/>
    <mergeCell ref="F1:F4"/>
    <mergeCell ref="G1:G4"/>
    <mergeCell ref="A1:A4"/>
    <mergeCell ref="B1:B4"/>
    <mergeCell ref="C1:C4"/>
    <mergeCell ref="D1:D4"/>
    <mergeCell ref="E1:E4"/>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R1000"/>
  <sheetViews>
    <sheetView workbookViewId="0">
      <pane ySplit="4" topLeftCell="A116" activePane="bottomLeft" state="frozen"/>
      <selection pane="bottomLeft" activeCell="A49" sqref="A49:U49"/>
    </sheetView>
  </sheetViews>
  <sheetFormatPr defaultColWidth="12.6328125" defaultRowHeight="15" customHeight="1"/>
  <cols>
    <col min="1" max="1" width="9.26953125" customWidth="1"/>
    <col min="2" max="2" width="18.90625" customWidth="1"/>
    <col min="3" max="3" width="34" customWidth="1"/>
    <col min="4" max="4" width="16.7265625" customWidth="1"/>
    <col min="5" max="7" width="8.6328125" customWidth="1"/>
    <col min="8" max="8" width="35.7265625" customWidth="1"/>
    <col min="9" max="9" width="18.36328125" customWidth="1"/>
    <col min="10" max="10" width="21.6328125" customWidth="1"/>
    <col min="11" max="11" width="22.453125" customWidth="1"/>
    <col min="12" max="12" width="24.26953125" customWidth="1"/>
    <col min="13" max="13" width="17.08984375" customWidth="1"/>
    <col min="14" max="14" width="11.7265625" customWidth="1"/>
    <col min="15" max="15" width="24" customWidth="1"/>
    <col min="16" max="18" width="12.7265625" customWidth="1"/>
  </cols>
  <sheetData>
    <row r="1" spans="1:18" ht="15.75" customHeight="1">
      <c r="A1" s="78" t="s">
        <v>0</v>
      </c>
      <c r="B1" s="78" t="s">
        <v>1</v>
      </c>
      <c r="C1" s="78" t="s">
        <v>2</v>
      </c>
      <c r="D1" s="80" t="s">
        <v>3</v>
      </c>
      <c r="E1" s="78" t="s">
        <v>4</v>
      </c>
      <c r="F1" s="78" t="s">
        <v>5</v>
      </c>
      <c r="G1" s="78" t="s">
        <v>6</v>
      </c>
      <c r="H1" s="78" t="s">
        <v>7</v>
      </c>
      <c r="I1" s="79" t="s">
        <v>8</v>
      </c>
      <c r="J1" s="75"/>
      <c r="K1" s="75"/>
      <c r="L1" s="75"/>
      <c r="M1" s="75"/>
      <c r="N1" s="75"/>
      <c r="O1" s="76"/>
      <c r="P1" s="22"/>
      <c r="Q1" s="22"/>
      <c r="R1" s="22"/>
    </row>
    <row r="2" spans="1:18" ht="15.75" customHeight="1">
      <c r="A2" s="69"/>
      <c r="B2" s="69"/>
      <c r="C2" s="69"/>
      <c r="D2" s="69"/>
      <c r="E2" s="69"/>
      <c r="F2" s="69"/>
      <c r="G2" s="69"/>
      <c r="H2" s="69"/>
      <c r="I2" s="79" t="s">
        <v>328</v>
      </c>
      <c r="J2" s="75"/>
      <c r="K2" s="75"/>
      <c r="L2" s="75"/>
      <c r="M2" s="75"/>
      <c r="N2" s="75"/>
      <c r="O2" s="76"/>
      <c r="P2" s="22"/>
      <c r="Q2" s="22"/>
      <c r="R2" s="22"/>
    </row>
    <row r="3" spans="1:18" ht="15.75" customHeight="1">
      <c r="A3" s="69"/>
      <c r="B3" s="69"/>
      <c r="C3" s="69"/>
      <c r="D3" s="69"/>
      <c r="E3" s="69"/>
      <c r="F3" s="69"/>
      <c r="G3" s="69"/>
      <c r="H3" s="69"/>
      <c r="I3" s="79"/>
      <c r="J3" s="75"/>
      <c r="K3" s="75"/>
      <c r="L3" s="75"/>
      <c r="M3" s="75"/>
      <c r="N3" s="75"/>
      <c r="O3" s="76"/>
      <c r="P3" s="22"/>
      <c r="Q3" s="22"/>
      <c r="R3" s="22"/>
    </row>
    <row r="4" spans="1:18" ht="15.75" customHeight="1">
      <c r="A4" s="70"/>
      <c r="B4" s="70"/>
      <c r="C4" s="70"/>
      <c r="D4" s="70"/>
      <c r="E4" s="70"/>
      <c r="F4" s="70"/>
      <c r="G4" s="70"/>
      <c r="H4" s="70"/>
      <c r="I4" s="22" t="s">
        <v>10</v>
      </c>
      <c r="J4" s="22" t="s">
        <v>11</v>
      </c>
      <c r="K4" s="22" t="s">
        <v>12</v>
      </c>
      <c r="L4" s="22" t="s">
        <v>13</v>
      </c>
      <c r="M4" s="22" t="s">
        <v>14</v>
      </c>
      <c r="N4" s="22" t="s">
        <v>15</v>
      </c>
      <c r="O4" s="22" t="s">
        <v>329</v>
      </c>
      <c r="P4" s="22" t="s">
        <v>19</v>
      </c>
      <c r="Q4" s="22" t="s">
        <v>20</v>
      </c>
      <c r="R4" s="22"/>
    </row>
    <row r="5" spans="1:18" ht="15.75" customHeight="1">
      <c r="A5" s="23"/>
      <c r="B5" s="24"/>
      <c r="C5" s="24"/>
      <c r="D5" s="25"/>
      <c r="E5" s="26"/>
      <c r="F5" s="26"/>
      <c r="G5" s="26"/>
      <c r="H5" s="23"/>
      <c r="I5" s="22"/>
      <c r="J5" s="22"/>
      <c r="K5" s="22"/>
      <c r="L5" s="22"/>
      <c r="M5" s="27"/>
      <c r="N5" s="27"/>
      <c r="O5" s="27"/>
      <c r="P5" s="27"/>
      <c r="Q5" s="27"/>
      <c r="R5" s="27"/>
    </row>
    <row r="6" spans="1:18" ht="15.75" customHeight="1">
      <c r="A6" s="23">
        <v>1</v>
      </c>
      <c r="B6" s="24" t="s">
        <v>330</v>
      </c>
      <c r="C6" s="24" t="s">
        <v>331</v>
      </c>
      <c r="D6" s="25" t="s">
        <v>332</v>
      </c>
      <c r="E6" s="28"/>
      <c r="F6" s="28"/>
      <c r="G6" s="28"/>
      <c r="H6" s="29" t="s">
        <v>333</v>
      </c>
      <c r="I6" s="30">
        <f>12</f>
        <v>12</v>
      </c>
      <c r="J6" s="27">
        <v>18</v>
      </c>
      <c r="K6" s="27">
        <v>12</v>
      </c>
      <c r="L6" s="27">
        <v>24</v>
      </c>
      <c r="M6" s="27">
        <v>12</v>
      </c>
      <c r="N6" s="27">
        <v>30</v>
      </c>
      <c r="O6" s="27">
        <v>71</v>
      </c>
      <c r="P6" s="31">
        <v>12</v>
      </c>
      <c r="Q6" s="31">
        <v>36</v>
      </c>
      <c r="R6" s="31"/>
    </row>
    <row r="7" spans="1:18" ht="15.75" customHeight="1">
      <c r="A7" s="23">
        <v>2</v>
      </c>
      <c r="B7" s="24" t="s">
        <v>330</v>
      </c>
      <c r="C7" s="24" t="s">
        <v>334</v>
      </c>
      <c r="D7" s="25" t="s">
        <v>335</v>
      </c>
      <c r="E7" s="28"/>
      <c r="F7" s="28"/>
      <c r="G7" s="28"/>
      <c r="H7" s="29" t="s">
        <v>336</v>
      </c>
      <c r="I7" s="30">
        <v>18</v>
      </c>
      <c r="J7" s="27">
        <v>24</v>
      </c>
      <c r="K7" s="27">
        <v>18</v>
      </c>
      <c r="L7" s="27">
        <v>30</v>
      </c>
      <c r="M7" s="27">
        <v>18</v>
      </c>
      <c r="N7" s="27">
        <v>59</v>
      </c>
      <c r="O7" s="27">
        <v>118</v>
      </c>
      <c r="P7" s="31">
        <v>12</v>
      </c>
      <c r="Q7" s="31">
        <v>36</v>
      </c>
      <c r="R7" s="31"/>
    </row>
    <row r="8" spans="1:18" ht="15.75" customHeight="1">
      <c r="A8" s="23"/>
      <c r="B8" s="24" t="s">
        <v>22</v>
      </c>
      <c r="C8" s="24" t="s">
        <v>29</v>
      </c>
      <c r="D8" s="25" t="s">
        <v>30</v>
      </c>
      <c r="E8" s="28"/>
      <c r="F8" s="28"/>
      <c r="G8" s="28"/>
      <c r="H8" s="29" t="s">
        <v>337</v>
      </c>
      <c r="I8" s="30">
        <v>41</v>
      </c>
      <c r="J8" s="32">
        <v>47</v>
      </c>
      <c r="K8" s="32">
        <v>53</v>
      </c>
      <c r="L8" s="32">
        <v>65</v>
      </c>
      <c r="M8" s="32">
        <v>41</v>
      </c>
      <c r="N8" s="33">
        <v>148</v>
      </c>
      <c r="O8" s="27">
        <v>207</v>
      </c>
      <c r="P8" s="31">
        <v>12</v>
      </c>
      <c r="Q8" s="34">
        <v>42</v>
      </c>
      <c r="R8" s="35"/>
    </row>
    <row r="9" spans="1:18" ht="15.75" customHeight="1">
      <c r="A9" s="23"/>
      <c r="B9" s="24" t="s">
        <v>29</v>
      </c>
      <c r="C9" s="24" t="s">
        <v>338</v>
      </c>
      <c r="D9" s="25" t="s">
        <v>339</v>
      </c>
      <c r="E9" s="28"/>
      <c r="F9" s="28"/>
      <c r="G9" s="28"/>
      <c r="H9" s="29" t="s">
        <v>340</v>
      </c>
      <c r="I9" s="30">
        <v>36</v>
      </c>
      <c r="J9" s="32">
        <v>41</v>
      </c>
      <c r="K9" s="32">
        <v>59</v>
      </c>
      <c r="L9" s="32">
        <v>71</v>
      </c>
      <c r="M9" s="32">
        <v>47</v>
      </c>
      <c r="N9" s="33">
        <v>178</v>
      </c>
      <c r="O9" s="27">
        <v>237</v>
      </c>
      <c r="P9" s="31">
        <v>12</v>
      </c>
      <c r="Q9" s="32">
        <v>42</v>
      </c>
      <c r="R9" s="32"/>
    </row>
    <row r="10" spans="1:18" ht="15.75" customHeight="1">
      <c r="A10" s="23"/>
      <c r="B10" s="24" t="s">
        <v>22</v>
      </c>
      <c r="C10" s="24" t="s">
        <v>341</v>
      </c>
      <c r="D10" s="25" t="s">
        <v>34</v>
      </c>
      <c r="E10" s="28"/>
      <c r="F10" s="28"/>
      <c r="G10" s="28"/>
      <c r="H10" s="29" t="s">
        <v>342</v>
      </c>
      <c r="I10" s="30">
        <v>47</v>
      </c>
      <c r="J10" s="32">
        <v>53</v>
      </c>
      <c r="K10" s="32">
        <v>59</v>
      </c>
      <c r="L10" s="32">
        <v>71</v>
      </c>
      <c r="M10" s="32">
        <v>18</v>
      </c>
      <c r="N10" s="33">
        <v>207</v>
      </c>
      <c r="O10" s="27">
        <v>266</v>
      </c>
      <c r="P10" s="31">
        <v>12</v>
      </c>
      <c r="Q10" s="36">
        <v>60</v>
      </c>
      <c r="R10" s="36"/>
    </row>
    <row r="11" spans="1:18" ht="15.75" customHeight="1">
      <c r="A11" s="23"/>
      <c r="B11" s="24" t="s">
        <v>22</v>
      </c>
      <c r="C11" s="24" t="s">
        <v>29</v>
      </c>
      <c r="D11" s="25" t="s">
        <v>36</v>
      </c>
      <c r="E11" s="28"/>
      <c r="F11" s="28"/>
      <c r="G11" s="28"/>
      <c r="H11" s="29" t="s">
        <v>343</v>
      </c>
      <c r="I11" s="36">
        <v>59</v>
      </c>
      <c r="J11" s="32">
        <v>65</v>
      </c>
      <c r="K11" s="32">
        <v>71</v>
      </c>
      <c r="L11" s="32">
        <v>83</v>
      </c>
      <c r="M11" s="32">
        <v>77</v>
      </c>
      <c r="N11" s="33">
        <v>208</v>
      </c>
      <c r="O11" s="27">
        <v>267</v>
      </c>
      <c r="P11" s="32">
        <v>30</v>
      </c>
      <c r="Q11" s="32">
        <v>60</v>
      </c>
      <c r="R11" s="32"/>
    </row>
    <row r="12" spans="1:18" ht="15.75" customHeight="1">
      <c r="A12" s="23"/>
      <c r="B12" s="24" t="s">
        <v>28</v>
      </c>
      <c r="C12" s="24" t="s">
        <v>38</v>
      </c>
      <c r="D12" s="25" t="s">
        <v>30</v>
      </c>
      <c r="E12" s="28"/>
      <c r="F12" s="28"/>
      <c r="G12" s="28"/>
      <c r="H12" s="29" t="s">
        <v>344</v>
      </c>
      <c r="I12" s="30">
        <v>53</v>
      </c>
      <c r="J12" s="32">
        <v>59</v>
      </c>
      <c r="K12" s="32">
        <v>65</v>
      </c>
      <c r="L12" s="32">
        <v>77</v>
      </c>
      <c r="M12" s="32">
        <v>53</v>
      </c>
      <c r="N12" s="33">
        <v>178</v>
      </c>
      <c r="O12" s="27">
        <v>237</v>
      </c>
      <c r="P12" s="34">
        <v>12</v>
      </c>
      <c r="Q12" s="34">
        <v>42</v>
      </c>
      <c r="R12" s="35"/>
    </row>
    <row r="13" spans="1:18" ht="15.75" customHeight="1">
      <c r="A13" s="23"/>
      <c r="B13" s="24" t="s">
        <v>28</v>
      </c>
      <c r="C13" s="24" t="s">
        <v>38</v>
      </c>
      <c r="D13" s="25" t="s">
        <v>36</v>
      </c>
      <c r="E13" s="28"/>
      <c r="F13" s="28"/>
      <c r="G13" s="28"/>
      <c r="H13" s="29" t="s">
        <v>345</v>
      </c>
      <c r="I13" s="36">
        <f>53+18</f>
        <v>71</v>
      </c>
      <c r="J13" s="32">
        <f t="shared" ref="J13:L13" si="0">J12+18</f>
        <v>77</v>
      </c>
      <c r="K13" s="32">
        <f t="shared" si="0"/>
        <v>83</v>
      </c>
      <c r="L13" s="32">
        <f t="shared" si="0"/>
        <v>95</v>
      </c>
      <c r="M13" s="37">
        <f t="shared" ref="M13:N13" si="1">M12+36</f>
        <v>89</v>
      </c>
      <c r="N13" s="31">
        <f t="shared" si="1"/>
        <v>214</v>
      </c>
      <c r="O13" s="27">
        <f>O12+60</f>
        <v>297</v>
      </c>
      <c r="P13" s="34">
        <f>12+18</f>
        <v>30</v>
      </c>
      <c r="Q13" s="32">
        <v>60</v>
      </c>
      <c r="R13" s="32"/>
    </row>
    <row r="14" spans="1:18" ht="15.75" customHeight="1">
      <c r="A14" s="23"/>
      <c r="B14" s="24" t="s">
        <v>28</v>
      </c>
      <c r="C14" s="24" t="s">
        <v>41</v>
      </c>
      <c r="D14" s="25" t="s">
        <v>30</v>
      </c>
      <c r="E14" s="28"/>
      <c r="F14" s="28"/>
      <c r="G14" s="28"/>
      <c r="H14" s="29" t="s">
        <v>346</v>
      </c>
      <c r="I14" s="30">
        <v>53</v>
      </c>
      <c r="J14" s="32">
        <v>59</v>
      </c>
      <c r="K14" s="32">
        <v>65</v>
      </c>
      <c r="L14" s="32">
        <v>77</v>
      </c>
      <c r="M14" s="37">
        <v>53</v>
      </c>
      <c r="N14" s="31">
        <v>178</v>
      </c>
      <c r="O14" s="27">
        <v>237</v>
      </c>
      <c r="P14" s="34">
        <v>12</v>
      </c>
      <c r="Q14" s="36">
        <v>60</v>
      </c>
      <c r="R14" s="36"/>
    </row>
    <row r="15" spans="1:18" ht="15.75" customHeight="1">
      <c r="A15" s="23"/>
      <c r="B15" s="24" t="s">
        <v>28</v>
      </c>
      <c r="C15" s="24" t="s">
        <v>41</v>
      </c>
      <c r="D15" s="25" t="s">
        <v>36</v>
      </c>
      <c r="E15" s="28"/>
      <c r="F15" s="28"/>
      <c r="G15" s="28"/>
      <c r="H15" s="29" t="s">
        <v>347</v>
      </c>
      <c r="I15" s="36">
        <f>53+18</f>
        <v>71</v>
      </c>
      <c r="J15" s="32">
        <f t="shared" ref="J15:L15" si="2">J14+18</f>
        <v>77</v>
      </c>
      <c r="K15" s="32">
        <f t="shared" si="2"/>
        <v>83</v>
      </c>
      <c r="L15" s="32">
        <f t="shared" si="2"/>
        <v>95</v>
      </c>
      <c r="M15" s="37">
        <f t="shared" ref="M15:N15" si="3">M14+36</f>
        <v>89</v>
      </c>
      <c r="N15" s="31">
        <f t="shared" si="3"/>
        <v>214</v>
      </c>
      <c r="O15" s="27">
        <f>O14+60</f>
        <v>297</v>
      </c>
      <c r="P15" s="34">
        <f>12+18</f>
        <v>30</v>
      </c>
      <c r="Q15" s="32">
        <v>60</v>
      </c>
      <c r="R15" s="37"/>
    </row>
    <row r="16" spans="1:18" ht="15.75" customHeight="1">
      <c r="A16" s="23"/>
      <c r="B16" s="24" t="s">
        <v>28</v>
      </c>
      <c r="C16" s="24" t="s">
        <v>348</v>
      </c>
      <c r="D16" s="25" t="s">
        <v>30</v>
      </c>
      <c r="E16" s="28"/>
      <c r="F16" s="28"/>
      <c r="G16" s="28"/>
      <c r="H16" s="29" t="s">
        <v>349</v>
      </c>
      <c r="I16" s="30">
        <v>59</v>
      </c>
      <c r="J16" s="37">
        <v>65</v>
      </c>
      <c r="K16" s="37">
        <v>77</v>
      </c>
      <c r="L16" s="37">
        <v>89</v>
      </c>
      <c r="M16" s="37">
        <v>59</v>
      </c>
      <c r="N16" s="31">
        <v>207</v>
      </c>
      <c r="O16" s="27">
        <v>266</v>
      </c>
      <c r="P16" s="34">
        <v>12</v>
      </c>
      <c r="Q16" s="38">
        <v>60</v>
      </c>
      <c r="R16" s="38"/>
    </row>
    <row r="17" spans="1:18" ht="15.75" customHeight="1">
      <c r="A17" s="23"/>
      <c r="B17" s="24" t="s">
        <v>28</v>
      </c>
      <c r="C17" s="24" t="s">
        <v>350</v>
      </c>
      <c r="D17" s="25" t="s">
        <v>30</v>
      </c>
      <c r="E17" s="28"/>
      <c r="F17" s="28"/>
      <c r="G17" s="28"/>
      <c r="H17" s="29" t="s">
        <v>351</v>
      </c>
      <c r="I17" s="30">
        <v>65</v>
      </c>
      <c r="J17" s="38">
        <v>71</v>
      </c>
      <c r="K17" s="38">
        <v>71</v>
      </c>
      <c r="L17" s="38">
        <v>83</v>
      </c>
      <c r="M17" s="38">
        <v>65</v>
      </c>
      <c r="N17" s="31">
        <v>207</v>
      </c>
      <c r="O17" s="27">
        <v>266</v>
      </c>
      <c r="P17" s="34">
        <v>12</v>
      </c>
      <c r="Q17" s="37">
        <v>42</v>
      </c>
      <c r="R17" s="37"/>
    </row>
    <row r="18" spans="1:18" ht="15.75" customHeight="1">
      <c r="A18" s="23"/>
      <c r="B18" s="24" t="s">
        <v>28</v>
      </c>
      <c r="C18" s="24" t="s">
        <v>50</v>
      </c>
      <c r="D18" s="25" t="s">
        <v>30</v>
      </c>
      <c r="E18" s="28"/>
      <c r="F18" s="28"/>
      <c r="G18" s="28"/>
      <c r="H18" s="29" t="s">
        <v>352</v>
      </c>
      <c r="I18" s="39">
        <v>53</v>
      </c>
      <c r="J18" s="39">
        <v>59</v>
      </c>
      <c r="K18" s="39">
        <v>71</v>
      </c>
      <c r="L18" s="39">
        <v>83</v>
      </c>
      <c r="M18" s="39">
        <v>53</v>
      </c>
      <c r="N18" s="40">
        <v>178</v>
      </c>
      <c r="O18" s="27">
        <v>237</v>
      </c>
      <c r="P18" s="33">
        <v>12</v>
      </c>
      <c r="Q18" s="33">
        <v>42</v>
      </c>
      <c r="R18" s="41"/>
    </row>
    <row r="19" spans="1:18" ht="15.75" customHeight="1">
      <c r="A19" s="23"/>
      <c r="B19" s="24" t="s">
        <v>28</v>
      </c>
      <c r="C19" s="24" t="s">
        <v>50</v>
      </c>
      <c r="D19" s="25" t="s">
        <v>36</v>
      </c>
      <c r="E19" s="28"/>
      <c r="F19" s="28"/>
      <c r="G19" s="28"/>
      <c r="H19" s="29" t="s">
        <v>353</v>
      </c>
      <c r="I19" s="36">
        <f t="shared" ref="I19:L19" si="4">I18+18</f>
        <v>71</v>
      </c>
      <c r="J19" s="32">
        <f t="shared" si="4"/>
        <v>77</v>
      </c>
      <c r="K19" s="32">
        <f t="shared" si="4"/>
        <v>89</v>
      </c>
      <c r="L19" s="32">
        <f t="shared" si="4"/>
        <v>101</v>
      </c>
      <c r="M19" s="37">
        <f t="shared" ref="M19:N19" si="5">M18+36</f>
        <v>89</v>
      </c>
      <c r="N19" s="31">
        <f t="shared" si="5"/>
        <v>214</v>
      </c>
      <c r="O19" s="27">
        <f>O18+60</f>
        <v>297</v>
      </c>
      <c r="P19" s="34">
        <f>12+18</f>
        <v>30</v>
      </c>
      <c r="Q19" s="32">
        <v>60</v>
      </c>
      <c r="R19" s="41"/>
    </row>
    <row r="20" spans="1:18" ht="15.75" customHeight="1">
      <c r="A20" s="23"/>
      <c r="B20" s="24" t="s">
        <v>28</v>
      </c>
      <c r="C20" s="24" t="s">
        <v>354</v>
      </c>
      <c r="D20" s="25" t="s">
        <v>30</v>
      </c>
      <c r="E20" s="28"/>
      <c r="F20" s="28"/>
      <c r="G20" s="28"/>
      <c r="H20" s="29" t="s">
        <v>355</v>
      </c>
      <c r="I20" s="39">
        <v>47</v>
      </c>
      <c r="J20" s="39">
        <v>53</v>
      </c>
      <c r="K20" s="39">
        <v>71</v>
      </c>
      <c r="L20" s="39">
        <v>83</v>
      </c>
      <c r="M20" s="39">
        <v>47</v>
      </c>
      <c r="N20" s="40">
        <v>166</v>
      </c>
      <c r="O20" s="27">
        <v>225</v>
      </c>
      <c r="P20" s="33">
        <v>12</v>
      </c>
      <c r="Q20" s="33">
        <v>60</v>
      </c>
      <c r="R20" s="41"/>
    </row>
    <row r="21" spans="1:18" ht="15.75" customHeight="1">
      <c r="A21" s="23"/>
      <c r="B21" s="24" t="s">
        <v>28</v>
      </c>
      <c r="C21" s="24" t="s">
        <v>354</v>
      </c>
      <c r="D21" s="25" t="s">
        <v>36</v>
      </c>
      <c r="E21" s="28"/>
      <c r="F21" s="28"/>
      <c r="G21" s="28"/>
      <c r="H21" s="29" t="s">
        <v>356</v>
      </c>
      <c r="I21" s="36">
        <f t="shared" ref="I21:L21" si="6">I20+18</f>
        <v>65</v>
      </c>
      <c r="J21" s="32">
        <f t="shared" si="6"/>
        <v>71</v>
      </c>
      <c r="K21" s="32">
        <f t="shared" si="6"/>
        <v>89</v>
      </c>
      <c r="L21" s="32">
        <f t="shared" si="6"/>
        <v>101</v>
      </c>
      <c r="M21" s="37">
        <f t="shared" ref="M21:N21" si="7">M20+36</f>
        <v>83</v>
      </c>
      <c r="N21" s="31">
        <f t="shared" si="7"/>
        <v>202</v>
      </c>
      <c r="O21" s="27">
        <f>O20+60</f>
        <v>285</v>
      </c>
      <c r="P21" s="34">
        <f>12+18</f>
        <v>30</v>
      </c>
      <c r="Q21" s="32">
        <v>60</v>
      </c>
      <c r="R21" s="39"/>
    </row>
    <row r="22" spans="1:18" ht="15.75" customHeight="1">
      <c r="A22" s="23"/>
      <c r="B22" s="24" t="s">
        <v>28</v>
      </c>
      <c r="C22" s="24" t="s">
        <v>56</v>
      </c>
      <c r="D22" s="25" t="s">
        <v>30</v>
      </c>
      <c r="E22" s="28"/>
      <c r="F22" s="28"/>
      <c r="G22" s="28"/>
      <c r="H22" s="29" t="s">
        <v>357</v>
      </c>
      <c r="I22" s="39">
        <v>47</v>
      </c>
      <c r="J22" s="39">
        <v>53</v>
      </c>
      <c r="K22" s="39">
        <v>83</v>
      </c>
      <c r="L22" s="39">
        <v>95</v>
      </c>
      <c r="M22" s="39">
        <v>47</v>
      </c>
      <c r="N22" s="40">
        <v>195</v>
      </c>
      <c r="O22" s="27">
        <v>254</v>
      </c>
      <c r="P22" s="33">
        <v>12</v>
      </c>
      <c r="Q22" s="32">
        <v>60</v>
      </c>
      <c r="R22" s="40"/>
    </row>
    <row r="23" spans="1:18" ht="15.75" customHeight="1">
      <c r="A23" s="23"/>
      <c r="B23" s="24" t="s">
        <v>32</v>
      </c>
      <c r="C23" s="24" t="s">
        <v>56</v>
      </c>
      <c r="D23" s="25" t="s">
        <v>36</v>
      </c>
      <c r="E23" s="28"/>
      <c r="F23" s="28"/>
      <c r="G23" s="28"/>
      <c r="H23" s="29" t="s">
        <v>358</v>
      </c>
      <c r="I23" s="36">
        <f t="shared" ref="I23:L23" si="8">I22+18</f>
        <v>65</v>
      </c>
      <c r="J23" s="32">
        <f t="shared" si="8"/>
        <v>71</v>
      </c>
      <c r="K23" s="32">
        <f t="shared" si="8"/>
        <v>101</v>
      </c>
      <c r="L23" s="32">
        <f t="shared" si="8"/>
        <v>113</v>
      </c>
      <c r="M23" s="37">
        <f t="shared" ref="M23:N23" si="9">M22+36</f>
        <v>83</v>
      </c>
      <c r="N23" s="31">
        <f t="shared" si="9"/>
        <v>231</v>
      </c>
      <c r="O23" s="27">
        <f>O22+60</f>
        <v>314</v>
      </c>
      <c r="P23" s="34">
        <f>12+18</f>
        <v>30</v>
      </c>
      <c r="Q23" s="32">
        <v>60</v>
      </c>
      <c r="R23" s="39"/>
    </row>
    <row r="24" spans="1:18" ht="15.75" customHeight="1">
      <c r="A24" s="23"/>
      <c r="B24" s="24" t="s">
        <v>28</v>
      </c>
      <c r="C24" s="24" t="s">
        <v>59</v>
      </c>
      <c r="D24" s="25" t="s">
        <v>30</v>
      </c>
      <c r="E24" s="28"/>
      <c r="F24" s="28"/>
      <c r="G24" s="28"/>
      <c r="H24" s="29" t="s">
        <v>359</v>
      </c>
      <c r="I24" s="38">
        <v>59</v>
      </c>
      <c r="J24" s="38">
        <v>65</v>
      </c>
      <c r="K24" s="38">
        <v>83</v>
      </c>
      <c r="L24" s="38">
        <v>95</v>
      </c>
      <c r="M24" s="38">
        <v>59</v>
      </c>
      <c r="N24" s="31">
        <v>178</v>
      </c>
      <c r="O24" s="27">
        <v>237</v>
      </c>
      <c r="P24" s="33">
        <v>12</v>
      </c>
      <c r="Q24" s="39">
        <v>60</v>
      </c>
      <c r="R24" s="39"/>
    </row>
    <row r="25" spans="1:18" ht="15.75" customHeight="1">
      <c r="A25" s="23"/>
      <c r="B25" s="24" t="s">
        <v>28</v>
      </c>
      <c r="C25" s="24" t="s">
        <v>59</v>
      </c>
      <c r="D25" s="25" t="s">
        <v>36</v>
      </c>
      <c r="E25" s="28"/>
      <c r="F25" s="28"/>
      <c r="G25" s="28"/>
      <c r="H25" s="29" t="s">
        <v>360</v>
      </c>
      <c r="I25" s="36">
        <f t="shared" ref="I25:L25" si="10">I24+18</f>
        <v>77</v>
      </c>
      <c r="J25" s="32">
        <f t="shared" si="10"/>
        <v>83</v>
      </c>
      <c r="K25" s="32">
        <f t="shared" si="10"/>
        <v>101</v>
      </c>
      <c r="L25" s="32">
        <f t="shared" si="10"/>
        <v>113</v>
      </c>
      <c r="M25" s="37">
        <f t="shared" ref="M25:N25" si="11">M24+36</f>
        <v>95</v>
      </c>
      <c r="N25" s="31">
        <f t="shared" si="11"/>
        <v>214</v>
      </c>
      <c r="O25" s="27">
        <f>O24+60</f>
        <v>297</v>
      </c>
      <c r="P25" s="34">
        <f>12+18</f>
        <v>30</v>
      </c>
      <c r="Q25" s="32">
        <v>60</v>
      </c>
      <c r="R25" s="40"/>
    </row>
    <row r="26" spans="1:18" ht="15.75" customHeight="1">
      <c r="A26" s="23"/>
      <c r="B26" s="24" t="s">
        <v>28</v>
      </c>
      <c r="C26" s="24" t="s">
        <v>62</v>
      </c>
      <c r="D26" s="25" t="s">
        <v>30</v>
      </c>
      <c r="E26" s="28"/>
      <c r="F26" s="28"/>
      <c r="G26" s="28"/>
      <c r="H26" s="29" t="s">
        <v>361</v>
      </c>
      <c r="I26" s="38">
        <v>59</v>
      </c>
      <c r="J26" s="38">
        <v>65</v>
      </c>
      <c r="K26" s="38">
        <v>89</v>
      </c>
      <c r="L26" s="38">
        <v>101</v>
      </c>
      <c r="M26" s="38">
        <v>59</v>
      </c>
      <c r="N26" s="31">
        <v>178</v>
      </c>
      <c r="O26" s="27">
        <v>237</v>
      </c>
      <c r="P26" s="33">
        <v>12</v>
      </c>
      <c r="Q26" s="33">
        <v>60</v>
      </c>
      <c r="R26" s="41"/>
    </row>
    <row r="27" spans="1:18" ht="15.75" customHeight="1">
      <c r="A27" s="23"/>
      <c r="B27" s="24" t="s">
        <v>28</v>
      </c>
      <c r="C27" s="24" t="s">
        <v>62</v>
      </c>
      <c r="D27" s="25" t="s">
        <v>36</v>
      </c>
      <c r="E27" s="28"/>
      <c r="F27" s="28"/>
      <c r="G27" s="28"/>
      <c r="H27" s="29" t="s">
        <v>362</v>
      </c>
      <c r="I27" s="36">
        <f t="shared" ref="I27:L27" si="12">I26+18</f>
        <v>77</v>
      </c>
      <c r="J27" s="32">
        <f t="shared" si="12"/>
        <v>83</v>
      </c>
      <c r="K27" s="32">
        <f t="shared" si="12"/>
        <v>107</v>
      </c>
      <c r="L27" s="32">
        <f t="shared" si="12"/>
        <v>119</v>
      </c>
      <c r="M27" s="37">
        <f t="shared" ref="M27:N27" si="13">M26+36</f>
        <v>95</v>
      </c>
      <c r="N27" s="31">
        <f t="shared" si="13"/>
        <v>214</v>
      </c>
      <c r="O27" s="27">
        <f>O26+60</f>
        <v>297</v>
      </c>
      <c r="P27" s="34">
        <f>12+18</f>
        <v>30</v>
      </c>
      <c r="Q27" s="32">
        <v>60</v>
      </c>
      <c r="R27" s="38"/>
    </row>
    <row r="28" spans="1:18" ht="15.75" customHeight="1">
      <c r="A28" s="23"/>
      <c r="B28" s="24" t="s">
        <v>28</v>
      </c>
      <c r="C28" s="24" t="s">
        <v>65</v>
      </c>
      <c r="D28" s="25" t="s">
        <v>30</v>
      </c>
      <c r="E28" s="28"/>
      <c r="F28" s="28"/>
      <c r="G28" s="28"/>
      <c r="H28" s="29" t="s">
        <v>363</v>
      </c>
      <c r="I28" s="38">
        <v>65</v>
      </c>
      <c r="J28" s="38">
        <v>71</v>
      </c>
      <c r="K28" s="38">
        <v>89</v>
      </c>
      <c r="L28" s="38">
        <v>101</v>
      </c>
      <c r="M28" s="38">
        <v>65</v>
      </c>
      <c r="N28" s="31">
        <v>178</v>
      </c>
      <c r="O28" s="27">
        <v>237</v>
      </c>
      <c r="P28" s="33">
        <v>12</v>
      </c>
      <c r="Q28" s="32">
        <v>60</v>
      </c>
      <c r="R28" s="38"/>
    </row>
    <row r="29" spans="1:18" ht="15.75" customHeight="1">
      <c r="A29" s="23"/>
      <c r="B29" s="24" t="s">
        <v>28</v>
      </c>
      <c r="C29" s="24" t="s">
        <v>65</v>
      </c>
      <c r="D29" s="25" t="s">
        <v>36</v>
      </c>
      <c r="E29" s="28"/>
      <c r="F29" s="28"/>
      <c r="G29" s="28"/>
      <c r="H29" s="29" t="s">
        <v>364</v>
      </c>
      <c r="I29" s="36">
        <f t="shared" ref="I29:L29" si="14">I28+18</f>
        <v>83</v>
      </c>
      <c r="J29" s="32">
        <f t="shared" si="14"/>
        <v>89</v>
      </c>
      <c r="K29" s="32">
        <f t="shared" si="14"/>
        <v>107</v>
      </c>
      <c r="L29" s="32">
        <f t="shared" si="14"/>
        <v>119</v>
      </c>
      <c r="M29" s="37">
        <f t="shared" ref="M29:N29" si="15">M28+36</f>
        <v>101</v>
      </c>
      <c r="N29" s="31">
        <f t="shared" si="15"/>
        <v>214</v>
      </c>
      <c r="O29" s="27">
        <f>O28+60</f>
        <v>297</v>
      </c>
      <c r="P29" s="34">
        <f>12+18</f>
        <v>30</v>
      </c>
      <c r="Q29" s="32">
        <v>60</v>
      </c>
      <c r="R29" s="38"/>
    </row>
    <row r="30" spans="1:18" ht="15.75" customHeight="1">
      <c r="A30" s="23"/>
      <c r="B30" s="24" t="s">
        <v>28</v>
      </c>
      <c r="C30" s="24" t="s">
        <v>68</v>
      </c>
      <c r="D30" s="25" t="s">
        <v>30</v>
      </c>
      <c r="E30" s="28"/>
      <c r="F30" s="28"/>
      <c r="G30" s="28"/>
      <c r="H30" s="29" t="s">
        <v>365</v>
      </c>
      <c r="I30" s="38">
        <v>65</v>
      </c>
      <c r="J30" s="38">
        <v>71</v>
      </c>
      <c r="K30" s="38">
        <v>77</v>
      </c>
      <c r="L30" s="38">
        <v>89</v>
      </c>
      <c r="M30" s="38">
        <v>65</v>
      </c>
      <c r="N30" s="31">
        <v>178</v>
      </c>
      <c r="O30" s="27">
        <v>237</v>
      </c>
      <c r="P30" s="33">
        <v>12</v>
      </c>
      <c r="Q30" s="32">
        <v>60</v>
      </c>
      <c r="R30" s="38"/>
    </row>
    <row r="31" spans="1:18" ht="15.75" customHeight="1">
      <c r="A31" s="23"/>
      <c r="B31" s="24" t="s">
        <v>28</v>
      </c>
      <c r="C31" s="24" t="s">
        <v>68</v>
      </c>
      <c r="D31" s="25" t="s">
        <v>36</v>
      </c>
      <c r="E31" s="28"/>
      <c r="F31" s="28"/>
      <c r="G31" s="28"/>
      <c r="H31" s="29" t="s">
        <v>366</v>
      </c>
      <c r="I31" s="36">
        <f t="shared" ref="I31:L31" si="16">I30+18</f>
        <v>83</v>
      </c>
      <c r="J31" s="32">
        <f t="shared" si="16"/>
        <v>89</v>
      </c>
      <c r="K31" s="32">
        <f t="shared" si="16"/>
        <v>95</v>
      </c>
      <c r="L31" s="32">
        <f t="shared" si="16"/>
        <v>107</v>
      </c>
      <c r="M31" s="37">
        <f t="shared" ref="M31:N31" si="17">M30+36</f>
        <v>101</v>
      </c>
      <c r="N31" s="31">
        <f t="shared" si="17"/>
        <v>214</v>
      </c>
      <c r="O31" s="27">
        <f>O30+60</f>
        <v>297</v>
      </c>
      <c r="P31" s="34">
        <f>12+18</f>
        <v>30</v>
      </c>
      <c r="Q31" s="32">
        <v>60</v>
      </c>
      <c r="R31" s="38"/>
    </row>
    <row r="32" spans="1:18" ht="15.75" customHeight="1">
      <c r="A32" s="23"/>
      <c r="B32" s="24" t="s">
        <v>28</v>
      </c>
      <c r="C32" s="24" t="s">
        <v>367</v>
      </c>
      <c r="D32" s="25" t="s">
        <v>30</v>
      </c>
      <c r="E32" s="28"/>
      <c r="F32" s="28"/>
      <c r="G32" s="28"/>
      <c r="H32" s="29" t="s">
        <v>368</v>
      </c>
      <c r="I32" s="38">
        <v>77</v>
      </c>
      <c r="J32" s="38">
        <v>83</v>
      </c>
      <c r="K32" s="38">
        <v>101</v>
      </c>
      <c r="L32" s="38">
        <v>112</v>
      </c>
      <c r="M32" s="38">
        <v>77</v>
      </c>
      <c r="N32" s="31">
        <v>207</v>
      </c>
      <c r="O32" s="27">
        <v>266</v>
      </c>
      <c r="P32" s="38">
        <v>12</v>
      </c>
      <c r="Q32" s="38">
        <v>60</v>
      </c>
      <c r="R32" s="38"/>
    </row>
    <row r="33" spans="1:18" ht="15.75" customHeight="1">
      <c r="A33" s="23"/>
      <c r="B33" s="24" t="s">
        <v>28</v>
      </c>
      <c r="C33" s="24" t="s">
        <v>315</v>
      </c>
      <c r="D33" s="25" t="s">
        <v>30</v>
      </c>
      <c r="E33" s="28"/>
      <c r="F33" s="28"/>
      <c r="G33" s="28"/>
      <c r="H33" s="29" t="s">
        <v>369</v>
      </c>
      <c r="I33" s="38">
        <v>65</v>
      </c>
      <c r="J33" s="38">
        <v>71</v>
      </c>
      <c r="K33" s="38">
        <v>101</v>
      </c>
      <c r="L33" s="38">
        <v>112</v>
      </c>
      <c r="M33" s="38">
        <v>65</v>
      </c>
      <c r="N33" s="31">
        <v>178</v>
      </c>
      <c r="O33" s="27">
        <v>237</v>
      </c>
      <c r="P33" s="38">
        <v>12</v>
      </c>
      <c r="Q33" s="32">
        <v>60</v>
      </c>
      <c r="R33" s="38"/>
    </row>
    <row r="34" spans="1:18" ht="15.75" customHeight="1">
      <c r="A34" s="23"/>
      <c r="B34" s="24" t="s">
        <v>28</v>
      </c>
      <c r="C34" s="24" t="s">
        <v>315</v>
      </c>
      <c r="D34" s="25" t="s">
        <v>36</v>
      </c>
      <c r="E34" s="28"/>
      <c r="F34" s="28"/>
      <c r="G34" s="28"/>
      <c r="H34" s="29" t="s">
        <v>370</v>
      </c>
      <c r="I34" s="36">
        <f t="shared" ref="I34:L34" si="18">I33+18</f>
        <v>83</v>
      </c>
      <c r="J34" s="32">
        <f t="shared" si="18"/>
        <v>89</v>
      </c>
      <c r="K34" s="32">
        <f t="shared" si="18"/>
        <v>119</v>
      </c>
      <c r="L34" s="32">
        <f t="shared" si="18"/>
        <v>130</v>
      </c>
      <c r="M34" s="37">
        <f t="shared" ref="M34:N34" si="19">M33+36</f>
        <v>101</v>
      </c>
      <c r="N34" s="31">
        <f t="shared" si="19"/>
        <v>214</v>
      </c>
      <c r="O34" s="27">
        <f>O33+60</f>
        <v>297</v>
      </c>
      <c r="P34" s="34">
        <f>12+18</f>
        <v>30</v>
      </c>
      <c r="Q34" s="32">
        <v>60</v>
      </c>
      <c r="R34" s="41"/>
    </row>
    <row r="35" spans="1:18" ht="15.75" customHeight="1">
      <c r="A35" s="23"/>
      <c r="B35" s="24" t="s">
        <v>28</v>
      </c>
      <c r="C35" s="24" t="s">
        <v>78</v>
      </c>
      <c r="D35" s="25" t="s">
        <v>30</v>
      </c>
      <c r="E35" s="28"/>
      <c r="F35" s="28"/>
      <c r="G35" s="28"/>
      <c r="H35" s="29" t="s">
        <v>371</v>
      </c>
      <c r="I35" s="38">
        <v>65</v>
      </c>
      <c r="J35" s="38">
        <v>71</v>
      </c>
      <c r="K35" s="38">
        <v>101</v>
      </c>
      <c r="L35" s="38">
        <v>112</v>
      </c>
      <c r="M35" s="38">
        <v>65</v>
      </c>
      <c r="N35" s="31">
        <v>207</v>
      </c>
      <c r="O35" s="27">
        <v>266</v>
      </c>
      <c r="P35" s="38">
        <v>12</v>
      </c>
      <c r="Q35" s="38">
        <v>60</v>
      </c>
      <c r="R35" s="38"/>
    </row>
    <row r="36" spans="1:18" ht="15.75" customHeight="1">
      <c r="A36" s="23"/>
      <c r="B36" s="24" t="s">
        <v>28</v>
      </c>
      <c r="C36" s="24" t="s">
        <v>78</v>
      </c>
      <c r="D36" s="25" t="s">
        <v>36</v>
      </c>
      <c r="E36" s="28"/>
      <c r="F36" s="28"/>
      <c r="G36" s="28"/>
      <c r="H36" s="29" t="s">
        <v>372</v>
      </c>
      <c r="I36" s="36">
        <f t="shared" ref="I36:L36" si="20">I35+18</f>
        <v>83</v>
      </c>
      <c r="J36" s="32">
        <f t="shared" si="20"/>
        <v>89</v>
      </c>
      <c r="K36" s="32">
        <f t="shared" si="20"/>
        <v>119</v>
      </c>
      <c r="L36" s="32">
        <f t="shared" si="20"/>
        <v>130</v>
      </c>
      <c r="M36" s="37">
        <f t="shared" ref="M36:N36" si="21">M35+36</f>
        <v>101</v>
      </c>
      <c r="N36" s="31">
        <f t="shared" si="21"/>
        <v>243</v>
      </c>
      <c r="O36" s="27">
        <f>O35+60</f>
        <v>326</v>
      </c>
      <c r="P36" s="34">
        <f>12+18</f>
        <v>30</v>
      </c>
      <c r="Q36" s="32">
        <v>60</v>
      </c>
      <c r="R36" s="38"/>
    </row>
    <row r="37" spans="1:18" ht="15.75" customHeight="1">
      <c r="A37" s="23"/>
      <c r="B37" s="24" t="s">
        <v>28</v>
      </c>
      <c r="C37" s="24" t="s">
        <v>81</v>
      </c>
      <c r="D37" s="25" t="s">
        <v>30</v>
      </c>
      <c r="E37" s="28"/>
      <c r="F37" s="28"/>
      <c r="G37" s="28"/>
      <c r="H37" s="29" t="s">
        <v>373</v>
      </c>
      <c r="I37" s="38">
        <v>77</v>
      </c>
      <c r="J37" s="38">
        <v>83</v>
      </c>
      <c r="K37" s="38">
        <v>118</v>
      </c>
      <c r="L37" s="38">
        <v>130</v>
      </c>
      <c r="M37" s="38">
        <v>77</v>
      </c>
      <c r="N37" s="31">
        <v>207</v>
      </c>
      <c r="O37" s="27">
        <v>266</v>
      </c>
      <c r="P37" s="38">
        <v>12</v>
      </c>
      <c r="Q37" s="32">
        <v>60</v>
      </c>
      <c r="R37" s="38"/>
    </row>
    <row r="38" spans="1:18" ht="15.75" customHeight="1">
      <c r="A38" s="23"/>
      <c r="B38" s="24" t="s">
        <v>28</v>
      </c>
      <c r="C38" s="24" t="s">
        <v>81</v>
      </c>
      <c r="D38" s="25" t="s">
        <v>36</v>
      </c>
      <c r="E38" s="28"/>
      <c r="F38" s="28"/>
      <c r="G38" s="28"/>
      <c r="H38" s="29" t="s">
        <v>374</v>
      </c>
      <c r="I38" s="36">
        <f t="shared" ref="I38:L38" si="22">I37+18</f>
        <v>95</v>
      </c>
      <c r="J38" s="32">
        <f t="shared" si="22"/>
        <v>101</v>
      </c>
      <c r="K38" s="32">
        <f t="shared" si="22"/>
        <v>136</v>
      </c>
      <c r="L38" s="32">
        <f t="shared" si="22"/>
        <v>148</v>
      </c>
      <c r="M38" s="37">
        <f t="shared" ref="M38:N38" si="23">M37+36</f>
        <v>113</v>
      </c>
      <c r="N38" s="31">
        <f t="shared" si="23"/>
        <v>243</v>
      </c>
      <c r="O38" s="27">
        <f>O37+60</f>
        <v>326</v>
      </c>
      <c r="P38" s="34">
        <f>12+18</f>
        <v>30</v>
      </c>
      <c r="Q38" s="32">
        <v>60</v>
      </c>
      <c r="R38" s="38"/>
    </row>
    <row r="39" spans="1:18" ht="15.75" customHeight="1">
      <c r="A39" s="23"/>
      <c r="B39" s="24" t="s">
        <v>28</v>
      </c>
      <c r="C39" s="24" t="s">
        <v>84</v>
      </c>
      <c r="D39" s="25" t="s">
        <v>30</v>
      </c>
      <c r="E39" s="28"/>
      <c r="F39" s="28"/>
      <c r="G39" s="28"/>
      <c r="H39" s="29" t="s">
        <v>375</v>
      </c>
      <c r="I39" s="38">
        <v>89</v>
      </c>
      <c r="J39" s="38">
        <v>160</v>
      </c>
      <c r="K39" s="38">
        <v>136</v>
      </c>
      <c r="L39" s="38">
        <v>148</v>
      </c>
      <c r="M39" s="38">
        <v>89</v>
      </c>
      <c r="N39" s="31">
        <v>207</v>
      </c>
      <c r="O39" s="27">
        <v>266</v>
      </c>
      <c r="P39" s="38">
        <v>12</v>
      </c>
      <c r="Q39" s="32">
        <v>60</v>
      </c>
      <c r="R39" s="38"/>
    </row>
    <row r="40" spans="1:18" ht="15.75" customHeight="1">
      <c r="A40" s="23"/>
      <c r="B40" s="24" t="s">
        <v>28</v>
      </c>
      <c r="C40" s="24" t="s">
        <v>84</v>
      </c>
      <c r="D40" s="25" t="s">
        <v>36</v>
      </c>
      <c r="E40" s="28"/>
      <c r="F40" s="28"/>
      <c r="G40" s="28"/>
      <c r="H40" s="29" t="s">
        <v>376</v>
      </c>
      <c r="I40" s="36">
        <f t="shared" ref="I40:L40" si="24">I39+18</f>
        <v>107</v>
      </c>
      <c r="J40" s="32">
        <f t="shared" si="24"/>
        <v>178</v>
      </c>
      <c r="K40" s="32">
        <f t="shared" si="24"/>
        <v>154</v>
      </c>
      <c r="L40" s="32">
        <f t="shared" si="24"/>
        <v>166</v>
      </c>
      <c r="M40" s="37">
        <f t="shared" ref="M40:N40" si="25">M39+36</f>
        <v>125</v>
      </c>
      <c r="N40" s="31">
        <f t="shared" si="25"/>
        <v>243</v>
      </c>
      <c r="O40" s="27">
        <f>O39+60</f>
        <v>326</v>
      </c>
      <c r="P40" s="34">
        <f>12+18</f>
        <v>30</v>
      </c>
      <c r="Q40" s="32">
        <v>60</v>
      </c>
      <c r="R40" s="38"/>
    </row>
    <row r="41" spans="1:18" ht="15.75" customHeight="1">
      <c r="A41" s="23"/>
      <c r="B41" s="24" t="s">
        <v>50</v>
      </c>
      <c r="C41" s="24" t="s">
        <v>53</v>
      </c>
      <c r="D41" s="25" t="s">
        <v>30</v>
      </c>
      <c r="E41" s="42"/>
      <c r="F41" s="28"/>
      <c r="G41" s="28"/>
      <c r="H41" s="29" t="s">
        <v>377</v>
      </c>
      <c r="I41" s="31">
        <v>30</v>
      </c>
      <c r="J41" s="38">
        <v>36</v>
      </c>
      <c r="K41" s="38">
        <v>47</v>
      </c>
      <c r="L41" s="38">
        <v>59</v>
      </c>
      <c r="M41" s="38">
        <v>30</v>
      </c>
      <c r="N41" s="31">
        <v>89</v>
      </c>
      <c r="O41" s="27">
        <v>148</v>
      </c>
      <c r="P41" s="38">
        <v>12</v>
      </c>
      <c r="Q41" s="38">
        <v>60</v>
      </c>
      <c r="R41" s="38"/>
    </row>
    <row r="42" spans="1:18" ht="15.75" customHeight="1">
      <c r="A42" s="23"/>
      <c r="B42" s="24" t="s">
        <v>50</v>
      </c>
      <c r="C42" s="24" t="s">
        <v>76</v>
      </c>
      <c r="D42" s="25" t="s">
        <v>30</v>
      </c>
      <c r="E42" s="43"/>
      <c r="F42" s="28"/>
      <c r="G42" s="28"/>
      <c r="H42" s="29" t="s">
        <v>378</v>
      </c>
      <c r="I42" s="38">
        <v>24</v>
      </c>
      <c r="J42" s="38">
        <v>30</v>
      </c>
      <c r="K42" s="38">
        <v>36</v>
      </c>
      <c r="L42" s="38">
        <v>47</v>
      </c>
      <c r="M42" s="38">
        <v>24</v>
      </c>
      <c r="N42" s="31">
        <v>89</v>
      </c>
      <c r="O42" s="27">
        <v>148</v>
      </c>
      <c r="P42" s="38">
        <v>12</v>
      </c>
      <c r="Q42" s="31">
        <v>80</v>
      </c>
      <c r="R42" s="31"/>
    </row>
    <row r="43" spans="1:18" ht="15.75" customHeight="1">
      <c r="A43" s="23"/>
      <c r="B43" s="24" t="s">
        <v>28</v>
      </c>
      <c r="C43" s="24" t="s">
        <v>379</v>
      </c>
      <c r="D43" s="25" t="s">
        <v>30</v>
      </c>
      <c r="E43" s="43"/>
      <c r="F43" s="28"/>
      <c r="G43" s="28"/>
      <c r="H43" s="29" t="s">
        <v>380</v>
      </c>
      <c r="I43" s="38">
        <v>30</v>
      </c>
      <c r="J43" s="38">
        <v>36</v>
      </c>
      <c r="K43" s="38">
        <v>47</v>
      </c>
      <c r="L43" s="38">
        <v>59</v>
      </c>
      <c r="M43" s="38">
        <v>30</v>
      </c>
      <c r="N43" s="31">
        <v>89</v>
      </c>
      <c r="O43" s="27">
        <v>148</v>
      </c>
      <c r="P43" s="38">
        <v>12</v>
      </c>
      <c r="Q43" s="33">
        <v>60</v>
      </c>
      <c r="R43" s="41"/>
    </row>
    <row r="44" spans="1:18" ht="15.75" customHeight="1">
      <c r="A44" s="23"/>
      <c r="B44" s="24" t="s">
        <v>28</v>
      </c>
      <c r="C44" s="24" t="s">
        <v>91</v>
      </c>
      <c r="D44" s="25" t="s">
        <v>30</v>
      </c>
      <c r="E44" s="43"/>
      <c r="F44" s="28"/>
      <c r="G44" s="28"/>
      <c r="H44" s="29" t="s">
        <v>381</v>
      </c>
      <c r="I44" s="38">
        <v>65</v>
      </c>
      <c r="J44" s="38">
        <v>71</v>
      </c>
      <c r="K44" s="38">
        <v>112</v>
      </c>
      <c r="L44" s="38">
        <v>124</v>
      </c>
      <c r="M44" s="38">
        <v>65</v>
      </c>
      <c r="N44" s="31">
        <v>148</v>
      </c>
      <c r="O44" s="27">
        <v>207</v>
      </c>
      <c r="P44" s="38">
        <v>12</v>
      </c>
      <c r="Q44" s="38">
        <v>60</v>
      </c>
      <c r="R44" s="38"/>
    </row>
    <row r="45" spans="1:18" ht="15.75" customHeight="1">
      <c r="A45" s="23"/>
      <c r="B45" s="24" t="s">
        <v>28</v>
      </c>
      <c r="C45" s="24" t="s">
        <v>94</v>
      </c>
      <c r="D45" s="25" t="s">
        <v>30</v>
      </c>
      <c r="E45" s="43"/>
      <c r="F45" s="28"/>
      <c r="G45" s="28"/>
      <c r="H45" s="29" t="s">
        <v>382</v>
      </c>
      <c r="I45" s="38">
        <v>89</v>
      </c>
      <c r="J45" s="38">
        <v>95</v>
      </c>
      <c r="K45" s="38">
        <v>112</v>
      </c>
      <c r="L45" s="38">
        <v>124</v>
      </c>
      <c r="M45" s="38">
        <v>89</v>
      </c>
      <c r="N45" s="31">
        <v>148</v>
      </c>
      <c r="O45" s="27">
        <v>207</v>
      </c>
      <c r="P45" s="38">
        <v>12</v>
      </c>
      <c r="Q45" s="38">
        <v>60</v>
      </c>
      <c r="R45" s="38"/>
    </row>
    <row r="46" spans="1:18" ht="15.75" customHeight="1">
      <c r="A46" s="23"/>
      <c r="B46" s="24" t="s">
        <v>50</v>
      </c>
      <c r="C46" s="24" t="s">
        <v>97</v>
      </c>
      <c r="D46" s="25" t="s">
        <v>30</v>
      </c>
      <c r="E46" s="43"/>
      <c r="F46" s="28"/>
      <c r="G46" s="28"/>
      <c r="H46" s="29" t="s">
        <v>383</v>
      </c>
      <c r="I46" s="38">
        <v>71</v>
      </c>
      <c r="J46" s="38">
        <v>77</v>
      </c>
      <c r="K46" s="38">
        <v>89</v>
      </c>
      <c r="L46" s="38">
        <v>101</v>
      </c>
      <c r="M46" s="38">
        <v>71</v>
      </c>
      <c r="N46" s="31">
        <v>207</v>
      </c>
      <c r="O46" s="27">
        <v>266</v>
      </c>
      <c r="P46" s="38">
        <v>12</v>
      </c>
      <c r="Q46" s="38">
        <v>60</v>
      </c>
      <c r="R46" s="38"/>
    </row>
    <row r="47" spans="1:18" ht="15.75" customHeight="1">
      <c r="A47" s="23"/>
      <c r="B47" s="24" t="s">
        <v>76</v>
      </c>
      <c r="C47" s="24" t="s">
        <v>78</v>
      </c>
      <c r="D47" s="25" t="s">
        <v>30</v>
      </c>
      <c r="E47" s="43"/>
      <c r="F47" s="28"/>
      <c r="G47" s="28"/>
      <c r="H47" s="29" t="s">
        <v>384</v>
      </c>
      <c r="I47" s="38">
        <v>59</v>
      </c>
      <c r="J47" s="38">
        <v>65</v>
      </c>
      <c r="K47" s="38">
        <v>71</v>
      </c>
      <c r="L47" s="38">
        <v>83</v>
      </c>
      <c r="M47" s="38">
        <v>59</v>
      </c>
      <c r="N47" s="31">
        <v>118</v>
      </c>
      <c r="O47" s="27">
        <v>178</v>
      </c>
      <c r="P47" s="38">
        <v>12</v>
      </c>
      <c r="Q47" s="38">
        <v>60</v>
      </c>
      <c r="R47" s="38"/>
    </row>
    <row r="48" spans="1:18" ht="15.75" customHeight="1">
      <c r="A48" s="23"/>
      <c r="B48" s="24" t="s">
        <v>76</v>
      </c>
      <c r="C48" s="24" t="s">
        <v>94</v>
      </c>
      <c r="D48" s="25" t="s">
        <v>30</v>
      </c>
      <c r="E48" s="43"/>
      <c r="F48" s="28"/>
      <c r="G48" s="28"/>
      <c r="H48" s="29" t="s">
        <v>385</v>
      </c>
      <c r="I48" s="38">
        <v>36</v>
      </c>
      <c r="J48" s="38">
        <v>44</v>
      </c>
      <c r="K48" s="38">
        <v>71</v>
      </c>
      <c r="L48" s="38">
        <v>83</v>
      </c>
      <c r="M48" s="38">
        <v>18</v>
      </c>
      <c r="N48" s="31">
        <v>118</v>
      </c>
      <c r="O48" s="27">
        <v>178</v>
      </c>
      <c r="P48" s="38">
        <v>12</v>
      </c>
      <c r="Q48" s="38">
        <v>60</v>
      </c>
      <c r="R48" s="38"/>
    </row>
    <row r="49" spans="1:18" ht="15.75" customHeight="1">
      <c r="A49" s="23"/>
      <c r="B49" s="10" t="s">
        <v>22</v>
      </c>
      <c r="C49" s="10" t="s">
        <v>100</v>
      </c>
      <c r="D49" s="72" t="s">
        <v>339</v>
      </c>
      <c r="E49" s="73"/>
      <c r="F49" s="10"/>
      <c r="G49" s="10"/>
      <c r="H49" s="10" t="s">
        <v>386</v>
      </c>
      <c r="I49" s="44">
        <v>41</v>
      </c>
      <c r="J49" s="44">
        <v>47</v>
      </c>
      <c r="K49" s="44">
        <v>47</v>
      </c>
      <c r="L49" s="44">
        <v>59</v>
      </c>
      <c r="M49" s="44">
        <v>30</v>
      </c>
      <c r="N49" s="44">
        <v>118</v>
      </c>
      <c r="O49" s="44">
        <v>207</v>
      </c>
      <c r="P49" s="44">
        <v>12</v>
      </c>
      <c r="Q49" s="44">
        <v>42</v>
      </c>
      <c r="R49" s="38"/>
    </row>
    <row r="50" spans="1:18" ht="15.75" customHeight="1">
      <c r="A50" s="23"/>
      <c r="B50" s="10" t="s">
        <v>22</v>
      </c>
      <c r="C50" s="10" t="s">
        <v>103</v>
      </c>
      <c r="D50" s="72" t="s">
        <v>339</v>
      </c>
      <c r="E50" s="73"/>
      <c r="F50" s="10"/>
      <c r="G50" s="10"/>
      <c r="H50" s="10" t="s">
        <v>387</v>
      </c>
      <c r="I50" s="44">
        <v>41</v>
      </c>
      <c r="J50" s="44">
        <v>47</v>
      </c>
      <c r="K50" s="44">
        <v>47</v>
      </c>
      <c r="L50" s="44">
        <v>59</v>
      </c>
      <c r="M50" s="44">
        <v>30</v>
      </c>
      <c r="N50" s="44">
        <v>118</v>
      </c>
      <c r="O50" s="44">
        <v>207</v>
      </c>
      <c r="P50" s="44">
        <v>12</v>
      </c>
      <c r="Q50" s="44">
        <v>42</v>
      </c>
      <c r="R50" s="38"/>
    </row>
    <row r="51" spans="1:18" ht="15.75" customHeight="1">
      <c r="A51" s="23"/>
      <c r="B51" s="10" t="s">
        <v>22</v>
      </c>
      <c r="C51" s="10" t="s">
        <v>105</v>
      </c>
      <c r="D51" s="72" t="s">
        <v>339</v>
      </c>
      <c r="E51" s="73"/>
      <c r="F51" s="10"/>
      <c r="G51" s="10"/>
      <c r="H51" s="10" t="s">
        <v>388</v>
      </c>
      <c r="I51" s="44">
        <v>41</v>
      </c>
      <c r="J51" s="44">
        <v>47</v>
      </c>
      <c r="K51" s="44">
        <v>47</v>
      </c>
      <c r="L51" s="44">
        <v>59</v>
      </c>
      <c r="M51" s="44">
        <v>30</v>
      </c>
      <c r="N51" s="44">
        <v>118</v>
      </c>
      <c r="O51" s="44">
        <v>207</v>
      </c>
      <c r="P51" s="44">
        <v>12</v>
      </c>
      <c r="Q51" s="44">
        <v>42</v>
      </c>
      <c r="R51" s="27"/>
    </row>
    <row r="52" spans="1:18" ht="15.75" customHeight="1">
      <c r="A52" s="23"/>
      <c r="B52" s="10" t="s">
        <v>22</v>
      </c>
      <c r="C52" s="10" t="s">
        <v>107</v>
      </c>
      <c r="D52" s="72" t="s">
        <v>339</v>
      </c>
      <c r="E52" s="73"/>
      <c r="F52" s="10"/>
      <c r="G52" s="10"/>
      <c r="H52" s="10" t="s">
        <v>389</v>
      </c>
      <c r="I52" s="44">
        <v>41</v>
      </c>
      <c r="J52" s="44">
        <v>47</v>
      </c>
      <c r="K52" s="44">
        <v>47</v>
      </c>
      <c r="L52" s="44">
        <v>59</v>
      </c>
      <c r="M52" s="44">
        <v>30</v>
      </c>
      <c r="N52" s="44">
        <v>118</v>
      </c>
      <c r="O52" s="44">
        <v>207</v>
      </c>
      <c r="P52" s="44">
        <v>12</v>
      </c>
      <c r="Q52" s="44">
        <v>42</v>
      </c>
      <c r="R52" s="27"/>
    </row>
    <row r="53" spans="1:18" ht="15.75" customHeight="1">
      <c r="A53" s="23"/>
      <c r="B53" s="10" t="s">
        <v>22</v>
      </c>
      <c r="C53" s="10" t="s">
        <v>109</v>
      </c>
      <c r="D53" s="72" t="s">
        <v>339</v>
      </c>
      <c r="E53" s="73"/>
      <c r="F53" s="10"/>
      <c r="G53" s="10"/>
      <c r="H53" s="10" t="s">
        <v>390</v>
      </c>
      <c r="I53" s="44">
        <v>41</v>
      </c>
      <c r="J53" s="44">
        <v>47</v>
      </c>
      <c r="K53" s="44">
        <v>47</v>
      </c>
      <c r="L53" s="44">
        <v>59</v>
      </c>
      <c r="M53" s="44">
        <v>30</v>
      </c>
      <c r="N53" s="44">
        <v>118</v>
      </c>
      <c r="O53" s="44">
        <v>207</v>
      </c>
      <c r="P53" s="44">
        <v>12</v>
      </c>
      <c r="Q53" s="44">
        <v>42</v>
      </c>
      <c r="R53" s="27"/>
    </row>
    <row r="54" spans="1:18" ht="15.75" customHeight="1">
      <c r="A54" s="23"/>
      <c r="B54" s="10" t="s">
        <v>22</v>
      </c>
      <c r="C54" s="10" t="s">
        <v>391</v>
      </c>
      <c r="D54" s="72" t="s">
        <v>339</v>
      </c>
      <c r="E54" s="73"/>
      <c r="F54" s="10"/>
      <c r="G54" s="10"/>
      <c r="H54" s="10" t="s">
        <v>392</v>
      </c>
      <c r="I54" s="44">
        <v>36</v>
      </c>
      <c r="J54" s="44">
        <v>41</v>
      </c>
      <c r="K54" s="44">
        <v>47</v>
      </c>
      <c r="L54" s="44">
        <v>59</v>
      </c>
      <c r="M54" s="44">
        <v>36</v>
      </c>
      <c r="N54" s="44">
        <v>130</v>
      </c>
      <c r="O54" s="44">
        <v>237</v>
      </c>
      <c r="P54" s="44">
        <v>12</v>
      </c>
      <c r="Q54" s="44">
        <v>42</v>
      </c>
      <c r="R54" s="27"/>
    </row>
    <row r="55" spans="1:18" ht="15.75" customHeight="1">
      <c r="A55" s="23"/>
      <c r="B55" s="10" t="s">
        <v>22</v>
      </c>
      <c r="C55" s="10" t="s">
        <v>113</v>
      </c>
      <c r="D55" s="72" t="s">
        <v>339</v>
      </c>
      <c r="E55" s="73"/>
      <c r="F55" s="10"/>
      <c r="G55" s="10"/>
      <c r="H55" s="10" t="s">
        <v>393</v>
      </c>
      <c r="I55" s="44">
        <v>36</v>
      </c>
      <c r="J55" s="44">
        <v>41</v>
      </c>
      <c r="K55" s="44">
        <v>47</v>
      </c>
      <c r="L55" s="44">
        <v>59</v>
      </c>
      <c r="M55" s="44">
        <v>24</v>
      </c>
      <c r="N55" s="44">
        <v>130</v>
      </c>
      <c r="O55" s="44">
        <v>178</v>
      </c>
      <c r="P55" s="44">
        <v>12</v>
      </c>
      <c r="Q55" s="44">
        <v>42</v>
      </c>
      <c r="R55" s="27"/>
    </row>
    <row r="56" spans="1:18" ht="15.75" customHeight="1">
      <c r="A56" s="23"/>
      <c r="B56" s="10" t="s">
        <v>22</v>
      </c>
      <c r="C56" s="10" t="s">
        <v>115</v>
      </c>
      <c r="D56" s="72" t="s">
        <v>339</v>
      </c>
      <c r="E56" s="73"/>
      <c r="F56" s="10"/>
      <c r="G56" s="10"/>
      <c r="H56" s="10" t="s">
        <v>394</v>
      </c>
      <c r="I56" s="44">
        <v>41</v>
      </c>
      <c r="J56" s="44">
        <v>47</v>
      </c>
      <c r="K56" s="44">
        <v>47</v>
      </c>
      <c r="L56" s="44">
        <v>59</v>
      </c>
      <c r="M56" s="44">
        <v>30</v>
      </c>
      <c r="N56" s="44">
        <v>118</v>
      </c>
      <c r="O56" s="44">
        <v>207</v>
      </c>
      <c r="P56" s="44">
        <v>12</v>
      </c>
      <c r="Q56" s="44">
        <v>42</v>
      </c>
      <c r="R56" s="27"/>
    </row>
    <row r="57" spans="1:18" ht="15.75" customHeight="1">
      <c r="A57" s="23"/>
      <c r="B57" s="10" t="s">
        <v>22</v>
      </c>
      <c r="C57" s="10" t="s">
        <v>117</v>
      </c>
      <c r="D57" s="72" t="s">
        <v>339</v>
      </c>
      <c r="E57" s="73"/>
      <c r="F57" s="10"/>
      <c r="G57" s="10"/>
      <c r="H57" s="10" t="s">
        <v>393</v>
      </c>
      <c r="I57" s="44">
        <v>29</v>
      </c>
      <c r="J57" s="44">
        <v>32</v>
      </c>
      <c r="K57" s="44">
        <v>29</v>
      </c>
      <c r="L57" s="44">
        <v>31</v>
      </c>
      <c r="M57" s="44">
        <v>18</v>
      </c>
      <c r="N57" s="44">
        <v>82</v>
      </c>
      <c r="O57" s="44">
        <v>133</v>
      </c>
      <c r="P57" s="44">
        <v>6</v>
      </c>
      <c r="Q57" s="44">
        <v>42</v>
      </c>
      <c r="R57" s="27"/>
    </row>
    <row r="58" spans="1:18" ht="15.75" customHeight="1">
      <c r="A58" s="23"/>
      <c r="B58" s="10" t="s">
        <v>22</v>
      </c>
      <c r="C58" s="10" t="s">
        <v>119</v>
      </c>
      <c r="D58" s="72" t="s">
        <v>339</v>
      </c>
      <c r="E58" s="73"/>
      <c r="F58" s="10"/>
      <c r="G58" s="10"/>
      <c r="H58" s="10" t="s">
        <v>395</v>
      </c>
      <c r="I58" s="44">
        <v>41</v>
      </c>
      <c r="J58" s="44">
        <v>47</v>
      </c>
      <c r="K58" s="44">
        <v>47</v>
      </c>
      <c r="L58" s="44">
        <v>59</v>
      </c>
      <c r="M58" s="44">
        <v>30</v>
      </c>
      <c r="N58" s="44">
        <v>118</v>
      </c>
      <c r="O58" s="44">
        <v>207</v>
      </c>
      <c r="P58" s="44">
        <v>12</v>
      </c>
      <c r="Q58" s="44">
        <v>42</v>
      </c>
      <c r="R58" s="27"/>
    </row>
    <row r="59" spans="1:18" ht="15.75" customHeight="1">
      <c r="A59" s="23"/>
      <c r="B59" s="10" t="s">
        <v>22</v>
      </c>
      <c r="C59" s="10" t="s">
        <v>121</v>
      </c>
      <c r="D59" s="72" t="s">
        <v>339</v>
      </c>
      <c r="E59" s="73"/>
      <c r="F59" s="10"/>
      <c r="G59" s="10"/>
      <c r="H59" s="10" t="s">
        <v>396</v>
      </c>
      <c r="I59" s="44">
        <v>41</v>
      </c>
      <c r="J59" s="44">
        <v>47</v>
      </c>
      <c r="K59" s="44">
        <v>47</v>
      </c>
      <c r="L59" s="44">
        <v>59</v>
      </c>
      <c r="M59" s="44">
        <v>30</v>
      </c>
      <c r="N59" s="44">
        <v>118</v>
      </c>
      <c r="O59" s="44">
        <v>207</v>
      </c>
      <c r="P59" s="44">
        <v>12</v>
      </c>
      <c r="Q59" s="44">
        <v>42</v>
      </c>
      <c r="R59" s="27"/>
    </row>
    <row r="60" spans="1:18" ht="15.75" customHeight="1">
      <c r="A60" s="23"/>
      <c r="B60" s="10" t="s">
        <v>22</v>
      </c>
      <c r="C60" s="10" t="s">
        <v>123</v>
      </c>
      <c r="D60" s="72" t="s">
        <v>339</v>
      </c>
      <c r="E60" s="73"/>
      <c r="F60" s="10"/>
      <c r="G60" s="10"/>
      <c r="H60" s="10" t="s">
        <v>397</v>
      </c>
      <c r="I60" s="44">
        <v>41</v>
      </c>
      <c r="J60" s="44">
        <v>47</v>
      </c>
      <c r="K60" s="44">
        <v>47</v>
      </c>
      <c r="L60" s="44">
        <v>59</v>
      </c>
      <c r="M60" s="44">
        <v>30</v>
      </c>
      <c r="N60" s="44">
        <v>118</v>
      </c>
      <c r="O60" s="44">
        <v>207</v>
      </c>
      <c r="P60" s="44">
        <v>12</v>
      </c>
      <c r="Q60" s="44">
        <v>42</v>
      </c>
      <c r="R60" s="27"/>
    </row>
    <row r="61" spans="1:18" ht="15.75" customHeight="1">
      <c r="A61" s="23"/>
      <c r="B61" s="10" t="s">
        <v>22</v>
      </c>
      <c r="C61" s="10" t="s">
        <v>125</v>
      </c>
      <c r="D61" s="72" t="s">
        <v>339</v>
      </c>
      <c r="E61" s="73"/>
      <c r="F61" s="10"/>
      <c r="G61" s="10"/>
      <c r="H61" s="10" t="s">
        <v>393</v>
      </c>
      <c r="I61" s="44">
        <v>41</v>
      </c>
      <c r="J61" s="44">
        <v>47</v>
      </c>
      <c r="K61" s="44">
        <v>47</v>
      </c>
      <c r="L61" s="44">
        <v>59</v>
      </c>
      <c r="M61" s="44">
        <v>30</v>
      </c>
      <c r="N61" s="44">
        <v>118</v>
      </c>
      <c r="O61" s="44">
        <v>207</v>
      </c>
      <c r="P61" s="44">
        <v>12</v>
      </c>
      <c r="Q61" s="44">
        <v>42</v>
      </c>
      <c r="R61" s="27"/>
    </row>
    <row r="62" spans="1:18" ht="15.75" customHeight="1">
      <c r="A62" s="23"/>
      <c r="B62" s="10" t="s">
        <v>22</v>
      </c>
      <c r="C62" s="10" t="s">
        <v>127</v>
      </c>
      <c r="D62" s="72" t="s">
        <v>339</v>
      </c>
      <c r="E62" s="73"/>
      <c r="F62" s="10"/>
      <c r="G62" s="10"/>
      <c r="H62" s="10" t="s">
        <v>398</v>
      </c>
      <c r="I62" s="44">
        <v>41</v>
      </c>
      <c r="J62" s="44">
        <v>47</v>
      </c>
      <c r="K62" s="44">
        <v>47</v>
      </c>
      <c r="L62" s="44">
        <v>59</v>
      </c>
      <c r="M62" s="44">
        <v>41</v>
      </c>
      <c r="N62" s="44">
        <v>118</v>
      </c>
      <c r="O62" s="44">
        <v>207</v>
      </c>
      <c r="P62" s="44">
        <v>12</v>
      </c>
      <c r="Q62" s="44">
        <v>42</v>
      </c>
      <c r="R62" s="27"/>
    </row>
    <row r="63" spans="1:18" ht="15.75" customHeight="1">
      <c r="A63" s="23"/>
      <c r="B63" s="10" t="s">
        <v>22</v>
      </c>
      <c r="C63" s="10" t="s">
        <v>129</v>
      </c>
      <c r="D63" s="72" t="s">
        <v>339</v>
      </c>
      <c r="E63" s="73"/>
      <c r="F63" s="10"/>
      <c r="G63" s="10"/>
      <c r="H63" s="10" t="s">
        <v>399</v>
      </c>
      <c r="I63" s="44">
        <v>41</v>
      </c>
      <c r="J63" s="44">
        <v>47</v>
      </c>
      <c r="K63" s="44">
        <v>47</v>
      </c>
      <c r="L63" s="44">
        <v>59</v>
      </c>
      <c r="M63" s="44">
        <v>41</v>
      </c>
      <c r="N63" s="44">
        <v>118</v>
      </c>
      <c r="O63" s="44">
        <v>207</v>
      </c>
      <c r="P63" s="44">
        <v>12</v>
      </c>
      <c r="Q63" s="44">
        <v>42</v>
      </c>
      <c r="R63" s="27"/>
    </row>
    <row r="64" spans="1:18" ht="15.75" customHeight="1">
      <c r="A64" s="23"/>
      <c r="B64" s="10" t="s">
        <v>22</v>
      </c>
      <c r="C64" s="10" t="s">
        <v>131</v>
      </c>
      <c r="D64" s="72" t="s">
        <v>339</v>
      </c>
      <c r="E64" s="73"/>
      <c r="F64" s="10"/>
      <c r="G64" s="10"/>
      <c r="H64" s="10" t="s">
        <v>400</v>
      </c>
      <c r="I64" s="44">
        <v>41</v>
      </c>
      <c r="J64" s="44">
        <v>47</v>
      </c>
      <c r="K64" s="44">
        <v>47</v>
      </c>
      <c r="L64" s="44">
        <v>59</v>
      </c>
      <c r="M64" s="44">
        <v>41</v>
      </c>
      <c r="N64" s="44">
        <v>118</v>
      </c>
      <c r="O64" s="44">
        <v>207</v>
      </c>
      <c r="P64" s="44">
        <v>12</v>
      </c>
      <c r="Q64" s="44">
        <v>42</v>
      </c>
      <c r="R64" s="27"/>
    </row>
    <row r="65" spans="1:18" ht="15.75" customHeight="1">
      <c r="A65" s="23"/>
      <c r="B65" s="10" t="s">
        <v>22</v>
      </c>
      <c r="C65" s="10" t="s">
        <v>133</v>
      </c>
      <c r="D65" s="72" t="s">
        <v>339</v>
      </c>
      <c r="E65" s="73"/>
      <c r="F65" s="10"/>
      <c r="G65" s="10"/>
      <c r="H65" s="10" t="s">
        <v>401</v>
      </c>
      <c r="I65" s="44">
        <v>41</v>
      </c>
      <c r="J65" s="44">
        <v>47</v>
      </c>
      <c r="K65" s="44">
        <v>47</v>
      </c>
      <c r="L65" s="44">
        <v>59</v>
      </c>
      <c r="M65" s="44">
        <v>41</v>
      </c>
      <c r="N65" s="44">
        <v>118</v>
      </c>
      <c r="O65" s="44">
        <v>207</v>
      </c>
      <c r="P65" s="44">
        <v>12</v>
      </c>
      <c r="Q65" s="44">
        <v>42</v>
      </c>
      <c r="R65" s="27"/>
    </row>
    <row r="66" spans="1:18" ht="15.75" customHeight="1">
      <c r="A66" s="23"/>
      <c r="B66" s="10" t="s">
        <v>22</v>
      </c>
      <c r="C66" s="10" t="s">
        <v>135</v>
      </c>
      <c r="D66" s="72" t="s">
        <v>339</v>
      </c>
      <c r="E66" s="73"/>
      <c r="F66" s="10"/>
      <c r="G66" s="10"/>
      <c r="H66" s="10" t="s">
        <v>402</v>
      </c>
      <c r="I66" s="44">
        <v>41</v>
      </c>
      <c r="J66" s="44">
        <v>47</v>
      </c>
      <c r="K66" s="44">
        <v>47</v>
      </c>
      <c r="L66" s="44">
        <v>59</v>
      </c>
      <c r="M66" s="44">
        <v>41</v>
      </c>
      <c r="N66" s="44">
        <v>118</v>
      </c>
      <c r="O66" s="44">
        <v>207</v>
      </c>
      <c r="P66" s="44">
        <v>12</v>
      </c>
      <c r="Q66" s="44">
        <v>42</v>
      </c>
      <c r="R66" s="27"/>
    </row>
    <row r="67" spans="1:18" ht="15.75" customHeight="1">
      <c r="A67" s="23"/>
      <c r="B67" s="10" t="s">
        <v>22</v>
      </c>
      <c r="C67" s="10" t="s">
        <v>137</v>
      </c>
      <c r="D67" s="72" t="s">
        <v>339</v>
      </c>
      <c r="E67" s="73"/>
      <c r="F67" s="10"/>
      <c r="G67" s="10"/>
      <c r="H67" s="10" t="s">
        <v>398</v>
      </c>
      <c r="I67" s="44">
        <v>30</v>
      </c>
      <c r="J67" s="44">
        <v>36</v>
      </c>
      <c r="K67" s="44">
        <v>41</v>
      </c>
      <c r="L67" s="44">
        <v>53</v>
      </c>
      <c r="M67" s="44">
        <v>30</v>
      </c>
      <c r="N67" s="44">
        <v>118</v>
      </c>
      <c r="O67" s="44">
        <v>178</v>
      </c>
      <c r="P67" s="44">
        <v>12</v>
      </c>
      <c r="Q67" s="44">
        <v>42</v>
      </c>
      <c r="R67" s="27"/>
    </row>
    <row r="68" spans="1:18" ht="15.75" customHeight="1">
      <c r="A68" s="23"/>
      <c r="B68" s="10" t="s">
        <v>22</v>
      </c>
      <c r="C68" s="10" t="s">
        <v>139</v>
      </c>
      <c r="D68" s="72" t="s">
        <v>339</v>
      </c>
      <c r="E68" s="73"/>
      <c r="F68" s="10"/>
      <c r="G68" s="10"/>
      <c r="H68" s="10" t="s">
        <v>403</v>
      </c>
      <c r="I68" s="44">
        <v>41</v>
      </c>
      <c r="J68" s="44">
        <v>47</v>
      </c>
      <c r="K68" s="44">
        <v>47</v>
      </c>
      <c r="L68" s="44">
        <v>59</v>
      </c>
      <c r="M68" s="44">
        <v>41</v>
      </c>
      <c r="N68" s="44">
        <v>118</v>
      </c>
      <c r="O68" s="44">
        <v>207</v>
      </c>
      <c r="P68" s="44">
        <v>12</v>
      </c>
      <c r="Q68" s="44">
        <v>42</v>
      </c>
      <c r="R68" s="27"/>
    </row>
    <row r="69" spans="1:18" ht="15.75" customHeight="1">
      <c r="A69" s="23"/>
      <c r="B69" s="10" t="s">
        <v>22</v>
      </c>
      <c r="C69" s="10" t="s">
        <v>141</v>
      </c>
      <c r="D69" s="72" t="s">
        <v>339</v>
      </c>
      <c r="E69" s="73"/>
      <c r="F69" s="10"/>
      <c r="G69" s="10"/>
      <c r="H69" s="10" t="s">
        <v>398</v>
      </c>
      <c r="I69" s="44">
        <v>29</v>
      </c>
      <c r="J69" s="44">
        <v>32</v>
      </c>
      <c r="K69" s="44">
        <v>29</v>
      </c>
      <c r="L69" s="44">
        <v>31</v>
      </c>
      <c r="M69" s="44">
        <v>29</v>
      </c>
      <c r="N69" s="44">
        <v>82</v>
      </c>
      <c r="O69" s="44">
        <v>133</v>
      </c>
      <c r="P69" s="44">
        <v>6</v>
      </c>
      <c r="Q69" s="44">
        <v>42</v>
      </c>
      <c r="R69" s="27"/>
    </row>
    <row r="70" spans="1:18" ht="15.75" customHeight="1">
      <c r="A70" s="23"/>
      <c r="B70" s="10" t="s">
        <v>22</v>
      </c>
      <c r="C70" s="10" t="s">
        <v>143</v>
      </c>
      <c r="D70" s="72" t="s">
        <v>339</v>
      </c>
      <c r="E70" s="73"/>
      <c r="F70" s="10"/>
      <c r="G70" s="10"/>
      <c r="H70" s="10" t="s">
        <v>404</v>
      </c>
      <c r="I70" s="44">
        <v>41</v>
      </c>
      <c r="J70" s="44">
        <v>47</v>
      </c>
      <c r="K70" s="44">
        <v>47</v>
      </c>
      <c r="L70" s="44">
        <v>59</v>
      </c>
      <c r="M70" s="44">
        <v>41</v>
      </c>
      <c r="N70" s="44">
        <v>118</v>
      </c>
      <c r="O70" s="44">
        <v>207</v>
      </c>
      <c r="P70" s="44">
        <v>12</v>
      </c>
      <c r="Q70" s="44">
        <v>42</v>
      </c>
      <c r="R70" s="27"/>
    </row>
    <row r="71" spans="1:18" ht="15.75" customHeight="1">
      <c r="A71" s="23"/>
      <c r="B71" s="10" t="s">
        <v>22</v>
      </c>
      <c r="C71" s="10" t="s">
        <v>145</v>
      </c>
      <c r="D71" s="72" t="s">
        <v>339</v>
      </c>
      <c r="E71" s="73"/>
      <c r="F71" s="10"/>
      <c r="G71" s="10"/>
      <c r="H71" s="10" t="s">
        <v>405</v>
      </c>
      <c r="I71" s="44">
        <v>41</v>
      </c>
      <c r="J71" s="44">
        <v>47</v>
      </c>
      <c r="K71" s="44">
        <v>47</v>
      </c>
      <c r="L71" s="44">
        <v>59</v>
      </c>
      <c r="M71" s="44">
        <v>41</v>
      </c>
      <c r="N71" s="44">
        <v>118</v>
      </c>
      <c r="O71" s="44">
        <v>207</v>
      </c>
      <c r="P71" s="44">
        <v>12</v>
      </c>
      <c r="Q71" s="44">
        <v>42</v>
      </c>
      <c r="R71" s="27"/>
    </row>
    <row r="72" spans="1:18" ht="15.75" customHeight="1">
      <c r="A72" s="23"/>
      <c r="B72" s="10" t="s">
        <v>22</v>
      </c>
      <c r="C72" s="10" t="s">
        <v>406</v>
      </c>
      <c r="D72" s="72" t="s">
        <v>339</v>
      </c>
      <c r="E72" s="73"/>
      <c r="F72" s="10"/>
      <c r="G72" s="10"/>
      <c r="H72" s="10" t="s">
        <v>407</v>
      </c>
      <c r="I72" s="44">
        <v>41</v>
      </c>
      <c r="J72" s="44">
        <v>47</v>
      </c>
      <c r="K72" s="44">
        <v>47</v>
      </c>
      <c r="L72" s="44">
        <v>59</v>
      </c>
      <c r="M72" s="44">
        <v>41</v>
      </c>
      <c r="N72" s="44">
        <v>118</v>
      </c>
      <c r="O72" s="44">
        <v>207</v>
      </c>
      <c r="P72" s="44">
        <v>12</v>
      </c>
      <c r="Q72" s="44">
        <v>42</v>
      </c>
      <c r="R72" s="27"/>
    </row>
    <row r="73" spans="1:18" ht="15.75" customHeight="1">
      <c r="A73" s="23"/>
      <c r="B73" s="10" t="s">
        <v>22</v>
      </c>
      <c r="C73" s="10" t="s">
        <v>408</v>
      </c>
      <c r="D73" s="72" t="s">
        <v>339</v>
      </c>
      <c r="E73" s="73"/>
      <c r="F73" s="10"/>
      <c r="G73" s="10"/>
      <c r="H73" s="10" t="s">
        <v>398</v>
      </c>
      <c r="I73" s="44">
        <v>41</v>
      </c>
      <c r="J73" s="44">
        <v>47</v>
      </c>
      <c r="K73" s="44">
        <v>47</v>
      </c>
      <c r="L73" s="44">
        <v>59</v>
      </c>
      <c r="M73" s="44">
        <v>41</v>
      </c>
      <c r="N73" s="44">
        <v>118</v>
      </c>
      <c r="O73" s="44">
        <v>207</v>
      </c>
      <c r="P73" s="44">
        <v>12</v>
      </c>
      <c r="Q73" s="44">
        <v>42</v>
      </c>
      <c r="R73" s="27"/>
    </row>
    <row r="74" spans="1:18" ht="15.75" customHeight="1">
      <c r="A74" s="23"/>
      <c r="B74" s="10" t="s">
        <v>22</v>
      </c>
      <c r="C74" s="10" t="s">
        <v>151</v>
      </c>
      <c r="D74" s="72" t="s">
        <v>339</v>
      </c>
      <c r="E74" s="73"/>
      <c r="F74" s="10"/>
      <c r="G74" s="10"/>
      <c r="H74" s="10" t="s">
        <v>409</v>
      </c>
      <c r="I74" s="44">
        <v>30</v>
      </c>
      <c r="J74" s="44">
        <v>36</v>
      </c>
      <c r="K74" s="44">
        <v>38</v>
      </c>
      <c r="L74" s="44">
        <v>50</v>
      </c>
      <c r="M74" s="44">
        <v>30</v>
      </c>
      <c r="N74" s="44">
        <v>89</v>
      </c>
      <c r="O74" s="44">
        <v>178</v>
      </c>
      <c r="P74" s="44">
        <v>12</v>
      </c>
      <c r="Q74" s="44">
        <v>42</v>
      </c>
      <c r="R74" s="27"/>
    </row>
    <row r="75" spans="1:18" ht="15.75" customHeight="1">
      <c r="A75" s="23"/>
      <c r="B75" s="10" t="s">
        <v>22</v>
      </c>
      <c r="C75" s="10" t="s">
        <v>153</v>
      </c>
      <c r="D75" s="72" t="s">
        <v>339</v>
      </c>
      <c r="E75" s="73"/>
      <c r="F75" s="10"/>
      <c r="G75" s="10"/>
      <c r="H75" s="10" t="s">
        <v>410</v>
      </c>
      <c r="I75" s="44">
        <v>30</v>
      </c>
      <c r="J75" s="44">
        <v>36</v>
      </c>
      <c r="K75" s="44">
        <v>38</v>
      </c>
      <c r="L75" s="44">
        <v>50</v>
      </c>
      <c r="M75" s="44">
        <v>30</v>
      </c>
      <c r="N75" s="44">
        <v>89</v>
      </c>
      <c r="O75" s="44">
        <v>178</v>
      </c>
      <c r="P75" s="44">
        <v>12</v>
      </c>
      <c r="Q75" s="44">
        <v>42</v>
      </c>
      <c r="R75" s="27"/>
    </row>
    <row r="76" spans="1:18" ht="15.75" customHeight="1">
      <c r="A76" s="23"/>
      <c r="B76" s="10" t="s">
        <v>22</v>
      </c>
      <c r="C76" s="10" t="s">
        <v>155</v>
      </c>
      <c r="D76" s="72" t="s">
        <v>339</v>
      </c>
      <c r="E76" s="73"/>
      <c r="F76" s="10"/>
      <c r="G76" s="10"/>
      <c r="H76" s="10" t="s">
        <v>411</v>
      </c>
      <c r="I76" s="44">
        <v>30</v>
      </c>
      <c r="J76" s="44">
        <v>36</v>
      </c>
      <c r="K76" s="44">
        <v>38</v>
      </c>
      <c r="L76" s="44">
        <v>50</v>
      </c>
      <c r="M76" s="44">
        <v>30</v>
      </c>
      <c r="N76" s="44">
        <v>89</v>
      </c>
      <c r="O76" s="44">
        <v>178</v>
      </c>
      <c r="P76" s="44">
        <v>12</v>
      </c>
      <c r="Q76" s="44">
        <v>42</v>
      </c>
      <c r="R76" s="27"/>
    </row>
    <row r="77" spans="1:18" ht="15.75" customHeight="1">
      <c r="A77" s="23"/>
      <c r="B77" s="10" t="s">
        <v>22</v>
      </c>
      <c r="C77" s="10" t="s">
        <v>158</v>
      </c>
      <c r="D77" s="72" t="s">
        <v>339</v>
      </c>
      <c r="E77" s="73"/>
      <c r="F77" s="10"/>
      <c r="G77" s="10"/>
      <c r="H77" s="10" t="s">
        <v>412</v>
      </c>
      <c r="I77" s="44">
        <v>30</v>
      </c>
      <c r="J77" s="44">
        <v>36</v>
      </c>
      <c r="K77" s="44">
        <v>38</v>
      </c>
      <c r="L77" s="44">
        <v>50</v>
      </c>
      <c r="M77" s="44">
        <v>30</v>
      </c>
      <c r="N77" s="44">
        <v>89</v>
      </c>
      <c r="O77" s="44">
        <v>178</v>
      </c>
      <c r="P77" s="44">
        <v>12</v>
      </c>
      <c r="Q77" s="44">
        <v>42</v>
      </c>
      <c r="R77" s="27"/>
    </row>
    <row r="78" spans="1:18" ht="15.75" customHeight="1">
      <c r="A78" s="23"/>
      <c r="B78" s="10" t="s">
        <v>22</v>
      </c>
      <c r="C78" s="10" t="s">
        <v>160</v>
      </c>
      <c r="D78" s="72" t="s">
        <v>339</v>
      </c>
      <c r="E78" s="73"/>
      <c r="F78" s="10"/>
      <c r="G78" s="10"/>
      <c r="H78" s="10" t="s">
        <v>410</v>
      </c>
      <c r="I78" s="44">
        <v>24</v>
      </c>
      <c r="J78" s="44">
        <v>30</v>
      </c>
      <c r="K78" s="44">
        <v>36</v>
      </c>
      <c r="L78" s="44">
        <v>56</v>
      </c>
      <c r="M78" s="44">
        <v>24</v>
      </c>
      <c r="N78" s="44">
        <v>71</v>
      </c>
      <c r="O78" s="44">
        <v>178</v>
      </c>
      <c r="P78" s="44">
        <v>12</v>
      </c>
      <c r="Q78" s="44">
        <v>42</v>
      </c>
      <c r="R78" s="27"/>
    </row>
    <row r="79" spans="1:18" ht="15.75" customHeight="1">
      <c r="A79" s="23"/>
      <c r="B79" s="10" t="s">
        <v>22</v>
      </c>
      <c r="C79" s="10" t="s">
        <v>162</v>
      </c>
      <c r="D79" s="72" t="s">
        <v>339</v>
      </c>
      <c r="E79" s="73"/>
      <c r="F79" s="10"/>
      <c r="G79" s="10"/>
      <c r="H79" s="10" t="s">
        <v>413</v>
      </c>
      <c r="I79" s="44">
        <v>30</v>
      </c>
      <c r="J79" s="44">
        <v>36</v>
      </c>
      <c r="K79" s="44">
        <v>38</v>
      </c>
      <c r="L79" s="44">
        <v>50</v>
      </c>
      <c r="M79" s="44">
        <v>30</v>
      </c>
      <c r="N79" s="44">
        <v>89</v>
      </c>
      <c r="O79" s="44">
        <v>178</v>
      </c>
      <c r="P79" s="44">
        <v>12</v>
      </c>
      <c r="Q79" s="44">
        <v>42</v>
      </c>
      <c r="R79" s="27"/>
    </row>
    <row r="80" spans="1:18" ht="15.75" customHeight="1">
      <c r="A80" s="23"/>
      <c r="B80" s="10" t="s">
        <v>22</v>
      </c>
      <c r="C80" s="10" t="s">
        <v>164</v>
      </c>
      <c r="D80" s="72" t="s">
        <v>339</v>
      </c>
      <c r="E80" s="73"/>
      <c r="F80" s="10"/>
      <c r="G80" s="10"/>
      <c r="H80" s="10" t="s">
        <v>410</v>
      </c>
      <c r="I80" s="44">
        <v>30</v>
      </c>
      <c r="J80" s="44">
        <v>36</v>
      </c>
      <c r="K80" s="44">
        <v>38</v>
      </c>
      <c r="L80" s="44">
        <v>50</v>
      </c>
      <c r="M80" s="44">
        <v>30</v>
      </c>
      <c r="N80" s="44">
        <v>89</v>
      </c>
      <c r="O80" s="44">
        <v>178</v>
      </c>
      <c r="P80" s="44">
        <v>12</v>
      </c>
      <c r="Q80" s="44">
        <v>42</v>
      </c>
      <c r="R80" s="27"/>
    </row>
    <row r="81" spans="1:18" ht="15.75" customHeight="1">
      <c r="A81" s="23"/>
      <c r="B81" s="10" t="s">
        <v>22</v>
      </c>
      <c r="C81" s="10" t="s">
        <v>414</v>
      </c>
      <c r="D81" s="72" t="s">
        <v>339</v>
      </c>
      <c r="E81" s="73"/>
      <c r="F81" s="10"/>
      <c r="G81" s="10"/>
      <c r="H81" s="10" t="s">
        <v>415</v>
      </c>
      <c r="I81" s="44">
        <v>30</v>
      </c>
      <c r="J81" s="44">
        <v>36</v>
      </c>
      <c r="K81" s="44">
        <v>38</v>
      </c>
      <c r="L81" s="44">
        <v>50</v>
      </c>
      <c r="M81" s="44">
        <v>30</v>
      </c>
      <c r="N81" s="44">
        <v>89</v>
      </c>
      <c r="O81" s="44">
        <v>178</v>
      </c>
      <c r="P81" s="44">
        <v>12</v>
      </c>
      <c r="Q81" s="44">
        <v>42</v>
      </c>
      <c r="R81" s="27"/>
    </row>
    <row r="82" spans="1:18" ht="15.75" customHeight="1">
      <c r="A82" s="23"/>
      <c r="B82" s="10" t="s">
        <v>22</v>
      </c>
      <c r="C82" s="10" t="s">
        <v>416</v>
      </c>
      <c r="D82" s="72" t="s">
        <v>339</v>
      </c>
      <c r="E82" s="73"/>
      <c r="F82" s="10"/>
      <c r="G82" s="10"/>
      <c r="H82" s="10" t="s">
        <v>417</v>
      </c>
      <c r="I82" s="44">
        <v>30</v>
      </c>
      <c r="J82" s="44">
        <v>36</v>
      </c>
      <c r="K82" s="44">
        <v>38</v>
      </c>
      <c r="L82" s="44">
        <v>50</v>
      </c>
      <c r="M82" s="44">
        <v>30</v>
      </c>
      <c r="N82" s="44">
        <v>89</v>
      </c>
      <c r="O82" s="44">
        <v>178</v>
      </c>
      <c r="P82" s="44">
        <v>12</v>
      </c>
      <c r="Q82" s="44">
        <v>42</v>
      </c>
      <c r="R82" s="27"/>
    </row>
    <row r="83" spans="1:18" ht="15.75" customHeight="1">
      <c r="A83" s="23"/>
      <c r="B83" s="10" t="s">
        <v>22</v>
      </c>
      <c r="C83" s="10" t="s">
        <v>418</v>
      </c>
      <c r="D83" s="72" t="s">
        <v>339</v>
      </c>
      <c r="E83" s="73"/>
      <c r="F83" s="10"/>
      <c r="G83" s="10"/>
      <c r="H83" s="10" t="s">
        <v>419</v>
      </c>
      <c r="I83" s="44">
        <v>30</v>
      </c>
      <c r="J83" s="44">
        <v>36</v>
      </c>
      <c r="K83" s="44">
        <v>38</v>
      </c>
      <c r="L83" s="44">
        <v>50</v>
      </c>
      <c r="M83" s="44">
        <v>30</v>
      </c>
      <c r="N83" s="44">
        <v>89</v>
      </c>
      <c r="O83" s="44">
        <v>178</v>
      </c>
      <c r="P83" s="44">
        <v>12</v>
      </c>
      <c r="Q83" s="44">
        <v>42</v>
      </c>
      <c r="R83" s="27"/>
    </row>
    <row r="84" spans="1:18" ht="15.75" customHeight="1">
      <c r="A84" s="23"/>
      <c r="B84" s="10" t="s">
        <v>22</v>
      </c>
      <c r="C84" s="10" t="s">
        <v>420</v>
      </c>
      <c r="D84" s="72" t="s">
        <v>339</v>
      </c>
      <c r="E84" s="73"/>
      <c r="F84" s="10"/>
      <c r="G84" s="10"/>
      <c r="H84" s="10" t="s">
        <v>410</v>
      </c>
      <c r="I84" s="44">
        <v>30</v>
      </c>
      <c r="J84" s="44">
        <v>36</v>
      </c>
      <c r="K84" s="44">
        <v>38</v>
      </c>
      <c r="L84" s="44">
        <v>50</v>
      </c>
      <c r="M84" s="44">
        <v>30</v>
      </c>
      <c r="N84" s="44">
        <v>89</v>
      </c>
      <c r="O84" s="44">
        <v>178</v>
      </c>
      <c r="P84" s="44">
        <v>12</v>
      </c>
      <c r="Q84" s="44">
        <v>42</v>
      </c>
      <c r="R84" s="27"/>
    </row>
    <row r="85" spans="1:18" ht="15.75" customHeight="1">
      <c r="A85" s="23"/>
      <c r="B85" s="10" t="s">
        <v>22</v>
      </c>
      <c r="C85" s="10" t="s">
        <v>174</v>
      </c>
      <c r="D85" s="72" t="s">
        <v>339</v>
      </c>
      <c r="E85" s="73"/>
      <c r="F85" s="10"/>
      <c r="G85" s="10"/>
      <c r="H85" s="10" t="s">
        <v>421</v>
      </c>
      <c r="I85" s="44">
        <v>30</v>
      </c>
      <c r="J85" s="44">
        <v>36</v>
      </c>
      <c r="K85" s="44">
        <v>38</v>
      </c>
      <c r="L85" s="44">
        <v>50</v>
      </c>
      <c r="M85" s="44">
        <v>30</v>
      </c>
      <c r="N85" s="44">
        <v>89</v>
      </c>
      <c r="O85" s="44">
        <v>178</v>
      </c>
      <c r="P85" s="44">
        <v>12</v>
      </c>
      <c r="Q85" s="44">
        <v>42</v>
      </c>
      <c r="R85" s="27"/>
    </row>
    <row r="86" spans="1:18" ht="15.75" customHeight="1">
      <c r="A86" s="23"/>
      <c r="B86" s="10" t="s">
        <v>22</v>
      </c>
      <c r="C86" s="10" t="s">
        <v>176</v>
      </c>
      <c r="D86" s="72" t="s">
        <v>339</v>
      </c>
      <c r="E86" s="73"/>
      <c r="F86" s="10"/>
      <c r="G86" s="10"/>
      <c r="H86" s="10" t="s">
        <v>422</v>
      </c>
      <c r="I86" s="44">
        <v>30</v>
      </c>
      <c r="J86" s="44">
        <v>36</v>
      </c>
      <c r="K86" s="44">
        <v>38</v>
      </c>
      <c r="L86" s="44">
        <v>50</v>
      </c>
      <c r="M86" s="44">
        <v>30</v>
      </c>
      <c r="N86" s="44">
        <v>89</v>
      </c>
      <c r="O86" s="44">
        <v>178</v>
      </c>
      <c r="P86" s="44">
        <v>12</v>
      </c>
      <c r="Q86" s="44">
        <v>42</v>
      </c>
      <c r="R86" s="27"/>
    </row>
    <row r="87" spans="1:18" ht="15.75" customHeight="1">
      <c r="A87" s="23"/>
      <c r="B87" s="10" t="s">
        <v>22</v>
      </c>
      <c r="C87" s="10" t="s">
        <v>178</v>
      </c>
      <c r="D87" s="72" t="s">
        <v>339</v>
      </c>
      <c r="E87" s="73"/>
      <c r="F87" s="10"/>
      <c r="G87" s="10"/>
      <c r="H87" s="10" t="s">
        <v>423</v>
      </c>
      <c r="I87" s="44">
        <v>30</v>
      </c>
      <c r="J87" s="44">
        <v>36</v>
      </c>
      <c r="K87" s="44">
        <v>38</v>
      </c>
      <c r="L87" s="44">
        <v>50</v>
      </c>
      <c r="M87" s="44">
        <v>30</v>
      </c>
      <c r="N87" s="44">
        <v>89</v>
      </c>
      <c r="O87" s="44">
        <v>178</v>
      </c>
      <c r="P87" s="44">
        <v>12</v>
      </c>
      <c r="Q87" s="44">
        <v>42</v>
      </c>
      <c r="R87" s="27"/>
    </row>
    <row r="88" spans="1:18" ht="15.75" customHeight="1">
      <c r="A88" s="23"/>
      <c r="B88" s="10" t="s">
        <v>22</v>
      </c>
      <c r="C88" s="10" t="s">
        <v>180</v>
      </c>
      <c r="D88" s="72" t="s">
        <v>339</v>
      </c>
      <c r="E88" s="73"/>
      <c r="F88" s="10"/>
      <c r="G88" s="10"/>
      <c r="H88" s="10" t="s">
        <v>421</v>
      </c>
      <c r="I88" s="44">
        <v>24</v>
      </c>
      <c r="J88" s="44">
        <v>30</v>
      </c>
      <c r="K88" s="44">
        <v>36</v>
      </c>
      <c r="L88" s="44">
        <v>56</v>
      </c>
      <c r="M88" s="44">
        <v>24</v>
      </c>
      <c r="N88" s="44">
        <v>71</v>
      </c>
      <c r="O88" s="44">
        <v>178</v>
      </c>
      <c r="P88" s="44">
        <v>12</v>
      </c>
      <c r="Q88" s="44">
        <v>42</v>
      </c>
      <c r="R88" s="27"/>
    </row>
    <row r="89" spans="1:18" ht="15.75" customHeight="1">
      <c r="A89" s="23"/>
      <c r="B89" s="10" t="s">
        <v>22</v>
      </c>
      <c r="C89" s="10" t="s">
        <v>182</v>
      </c>
      <c r="D89" s="72" t="s">
        <v>339</v>
      </c>
      <c r="E89" s="73"/>
      <c r="F89" s="10"/>
      <c r="G89" s="10"/>
      <c r="H89" s="10" t="s">
        <v>424</v>
      </c>
      <c r="I89" s="44">
        <v>30</v>
      </c>
      <c r="J89" s="44">
        <v>36</v>
      </c>
      <c r="K89" s="44">
        <v>38</v>
      </c>
      <c r="L89" s="44">
        <v>50</v>
      </c>
      <c r="M89" s="44">
        <v>30</v>
      </c>
      <c r="N89" s="44">
        <v>89</v>
      </c>
      <c r="O89" s="44">
        <v>178</v>
      </c>
      <c r="P89" s="44">
        <v>12</v>
      </c>
      <c r="Q89" s="44">
        <v>42</v>
      </c>
      <c r="R89" s="27"/>
    </row>
    <row r="90" spans="1:18" ht="15.75" customHeight="1">
      <c r="A90" s="23"/>
      <c r="B90" s="10" t="s">
        <v>22</v>
      </c>
      <c r="C90" s="10" t="s">
        <v>184</v>
      </c>
      <c r="D90" s="72" t="s">
        <v>339</v>
      </c>
      <c r="E90" s="73"/>
      <c r="F90" s="10"/>
      <c r="G90" s="10"/>
      <c r="H90" s="10" t="s">
        <v>421</v>
      </c>
      <c r="I90" s="44">
        <v>30</v>
      </c>
      <c r="J90" s="44">
        <v>36</v>
      </c>
      <c r="K90" s="44">
        <v>38</v>
      </c>
      <c r="L90" s="44">
        <v>50</v>
      </c>
      <c r="M90" s="44">
        <v>30</v>
      </c>
      <c r="N90" s="44">
        <v>89</v>
      </c>
      <c r="O90" s="44">
        <v>178</v>
      </c>
      <c r="P90" s="44">
        <v>12</v>
      </c>
      <c r="Q90" s="44">
        <v>42</v>
      </c>
      <c r="R90" s="27"/>
    </row>
    <row r="91" spans="1:18" ht="15.75" customHeight="1">
      <c r="A91" s="23"/>
      <c r="B91" s="10" t="s">
        <v>22</v>
      </c>
      <c r="C91" s="10" t="s">
        <v>425</v>
      </c>
      <c r="D91" s="72" t="s">
        <v>339</v>
      </c>
      <c r="E91" s="73"/>
      <c r="F91" s="10"/>
      <c r="G91" s="10"/>
      <c r="H91" s="10" t="s">
        <v>426</v>
      </c>
      <c r="I91" s="44">
        <v>30</v>
      </c>
      <c r="J91" s="44">
        <v>36</v>
      </c>
      <c r="K91" s="44">
        <v>38</v>
      </c>
      <c r="L91" s="44">
        <v>50</v>
      </c>
      <c r="M91" s="44">
        <v>30</v>
      </c>
      <c r="N91" s="44">
        <v>89</v>
      </c>
      <c r="O91" s="44">
        <v>178</v>
      </c>
      <c r="P91" s="44">
        <v>12</v>
      </c>
      <c r="Q91" s="44">
        <v>42</v>
      </c>
      <c r="R91" s="27"/>
    </row>
    <row r="92" spans="1:18" ht="15.75" customHeight="1">
      <c r="A92" s="23"/>
      <c r="B92" s="10" t="s">
        <v>22</v>
      </c>
      <c r="C92" s="10" t="s">
        <v>186</v>
      </c>
      <c r="D92" s="72" t="s">
        <v>339</v>
      </c>
      <c r="E92" s="73"/>
      <c r="F92" s="10"/>
      <c r="G92" s="10"/>
      <c r="H92" s="10" t="s">
        <v>427</v>
      </c>
      <c r="I92" s="44">
        <v>30</v>
      </c>
      <c r="J92" s="44">
        <v>36</v>
      </c>
      <c r="K92" s="44">
        <v>38</v>
      </c>
      <c r="L92" s="44">
        <v>50</v>
      </c>
      <c r="M92" s="44">
        <v>30</v>
      </c>
      <c r="N92" s="44">
        <v>89</v>
      </c>
      <c r="O92" s="44">
        <v>178</v>
      </c>
      <c r="P92" s="44">
        <v>12</v>
      </c>
      <c r="Q92" s="44">
        <v>42</v>
      </c>
      <c r="R92" s="27"/>
    </row>
    <row r="93" spans="1:18" ht="15.75" customHeight="1">
      <c r="A93" s="23"/>
      <c r="B93" s="10" t="s">
        <v>22</v>
      </c>
      <c r="C93" s="10" t="s">
        <v>428</v>
      </c>
      <c r="D93" s="72" t="s">
        <v>339</v>
      </c>
      <c r="E93" s="73"/>
      <c r="F93" s="10"/>
      <c r="G93" s="10"/>
      <c r="H93" s="10" t="s">
        <v>429</v>
      </c>
      <c r="I93" s="44">
        <v>30</v>
      </c>
      <c r="J93" s="44">
        <v>36</v>
      </c>
      <c r="K93" s="44">
        <v>38</v>
      </c>
      <c r="L93" s="44">
        <v>50</v>
      </c>
      <c r="M93" s="44">
        <v>30</v>
      </c>
      <c r="N93" s="44">
        <v>89</v>
      </c>
      <c r="O93" s="44">
        <v>178</v>
      </c>
      <c r="P93" s="44">
        <v>12</v>
      </c>
      <c r="Q93" s="44">
        <v>42</v>
      </c>
      <c r="R93" s="27"/>
    </row>
    <row r="94" spans="1:18" ht="15.75" customHeight="1">
      <c r="A94" s="23"/>
      <c r="B94" s="10" t="s">
        <v>22</v>
      </c>
      <c r="C94" s="10" t="s">
        <v>430</v>
      </c>
      <c r="D94" s="72" t="s">
        <v>339</v>
      </c>
      <c r="E94" s="73"/>
      <c r="F94" s="10"/>
      <c r="G94" s="10"/>
      <c r="H94" s="10" t="s">
        <v>421</v>
      </c>
      <c r="I94" s="44">
        <v>30</v>
      </c>
      <c r="J94" s="44">
        <v>36</v>
      </c>
      <c r="K94" s="44">
        <v>38</v>
      </c>
      <c r="L94" s="44">
        <v>50</v>
      </c>
      <c r="M94" s="44">
        <v>30</v>
      </c>
      <c r="N94" s="44">
        <v>89</v>
      </c>
      <c r="O94" s="44">
        <v>178</v>
      </c>
      <c r="P94" s="44">
        <v>12</v>
      </c>
      <c r="Q94" s="44">
        <v>42</v>
      </c>
      <c r="R94" s="27"/>
    </row>
    <row r="95" spans="1:18" ht="15.75" customHeight="1">
      <c r="A95" s="23"/>
      <c r="B95" s="10" t="s">
        <v>22</v>
      </c>
      <c r="C95" s="10" t="s">
        <v>192</v>
      </c>
      <c r="D95" s="72" t="s">
        <v>339</v>
      </c>
      <c r="E95" s="73"/>
      <c r="F95" s="10"/>
      <c r="G95" s="10"/>
      <c r="H95" s="10" t="s">
        <v>431</v>
      </c>
      <c r="I95" s="44">
        <v>30</v>
      </c>
      <c r="J95" s="44">
        <v>36</v>
      </c>
      <c r="K95" s="44">
        <v>38</v>
      </c>
      <c r="L95" s="44">
        <v>50</v>
      </c>
      <c r="M95" s="44">
        <v>30</v>
      </c>
      <c r="N95" s="44">
        <v>89</v>
      </c>
      <c r="O95" s="44">
        <v>178</v>
      </c>
      <c r="P95" s="44">
        <v>12</v>
      </c>
      <c r="Q95" s="44">
        <v>42</v>
      </c>
      <c r="R95" s="27"/>
    </row>
    <row r="96" spans="1:18" ht="15.75" customHeight="1">
      <c r="A96" s="23"/>
      <c r="B96" s="10" t="s">
        <v>22</v>
      </c>
      <c r="C96" s="10" t="s">
        <v>194</v>
      </c>
      <c r="D96" s="72" t="s">
        <v>339</v>
      </c>
      <c r="E96" s="73"/>
      <c r="F96" s="10"/>
      <c r="G96" s="10"/>
      <c r="H96" s="10" t="s">
        <v>432</v>
      </c>
      <c r="I96" s="44">
        <v>30</v>
      </c>
      <c r="J96" s="44">
        <v>36</v>
      </c>
      <c r="K96" s="44">
        <v>38</v>
      </c>
      <c r="L96" s="44">
        <v>50</v>
      </c>
      <c r="M96" s="44">
        <v>30</v>
      </c>
      <c r="N96" s="44">
        <v>89</v>
      </c>
      <c r="O96" s="44">
        <v>178</v>
      </c>
      <c r="P96" s="44">
        <v>12</v>
      </c>
      <c r="Q96" s="44">
        <v>42</v>
      </c>
      <c r="R96" s="27"/>
    </row>
    <row r="97" spans="1:18" ht="15.75" customHeight="1">
      <c r="A97" s="23"/>
      <c r="B97" s="10" t="s">
        <v>22</v>
      </c>
      <c r="C97" s="10" t="s">
        <v>196</v>
      </c>
      <c r="D97" s="72" t="s">
        <v>339</v>
      </c>
      <c r="E97" s="73"/>
      <c r="F97" s="10"/>
      <c r="G97" s="10"/>
      <c r="H97" s="10" t="s">
        <v>433</v>
      </c>
      <c r="I97" s="44">
        <v>24</v>
      </c>
      <c r="J97" s="44">
        <v>30</v>
      </c>
      <c r="K97" s="44">
        <v>36</v>
      </c>
      <c r="L97" s="44">
        <v>56</v>
      </c>
      <c r="M97" s="44">
        <v>24</v>
      </c>
      <c r="N97" s="44">
        <v>71</v>
      </c>
      <c r="O97" s="44">
        <v>178</v>
      </c>
      <c r="P97" s="44">
        <v>12</v>
      </c>
      <c r="Q97" s="44">
        <v>42</v>
      </c>
      <c r="R97" s="27"/>
    </row>
    <row r="98" spans="1:18" ht="15.75" customHeight="1">
      <c r="A98" s="23"/>
      <c r="B98" s="10" t="s">
        <v>22</v>
      </c>
      <c r="C98" s="10" t="s">
        <v>198</v>
      </c>
      <c r="D98" s="72" t="s">
        <v>339</v>
      </c>
      <c r="E98" s="73"/>
      <c r="F98" s="10"/>
      <c r="G98" s="10"/>
      <c r="H98" s="10" t="s">
        <v>434</v>
      </c>
      <c r="I98" s="44">
        <v>30</v>
      </c>
      <c r="J98" s="44">
        <v>36</v>
      </c>
      <c r="K98" s="44">
        <v>38</v>
      </c>
      <c r="L98" s="44">
        <v>50</v>
      </c>
      <c r="M98" s="44">
        <v>30</v>
      </c>
      <c r="N98" s="44">
        <v>89</v>
      </c>
      <c r="O98" s="44">
        <v>178</v>
      </c>
      <c r="P98" s="44">
        <v>12</v>
      </c>
      <c r="Q98" s="44">
        <v>42</v>
      </c>
      <c r="R98" s="27"/>
    </row>
    <row r="99" spans="1:18" ht="15.75" customHeight="1">
      <c r="A99" s="23"/>
      <c r="B99" s="10" t="s">
        <v>22</v>
      </c>
      <c r="C99" s="10" t="s">
        <v>200</v>
      </c>
      <c r="D99" s="72" t="s">
        <v>339</v>
      </c>
      <c r="E99" s="73"/>
      <c r="F99" s="10"/>
      <c r="G99" s="10"/>
      <c r="H99" s="10" t="s">
        <v>433</v>
      </c>
      <c r="I99" s="44">
        <v>15</v>
      </c>
      <c r="J99" s="44">
        <v>18</v>
      </c>
      <c r="K99" s="44">
        <v>19</v>
      </c>
      <c r="L99" s="44">
        <v>25</v>
      </c>
      <c r="M99" s="44">
        <v>15</v>
      </c>
      <c r="N99" s="44">
        <v>45</v>
      </c>
      <c r="O99" s="44">
        <v>89</v>
      </c>
      <c r="P99" s="44">
        <v>12</v>
      </c>
      <c r="Q99" s="44">
        <v>42</v>
      </c>
      <c r="R99" s="27"/>
    </row>
    <row r="100" spans="1:18" ht="15.75" customHeight="1">
      <c r="A100" s="23"/>
      <c r="B100" s="10" t="s">
        <v>22</v>
      </c>
      <c r="C100" s="10" t="s">
        <v>435</v>
      </c>
      <c r="D100" s="72" t="s">
        <v>339</v>
      </c>
      <c r="E100" s="73"/>
      <c r="F100" s="10"/>
      <c r="G100" s="10"/>
      <c r="H100" s="10" t="s">
        <v>436</v>
      </c>
      <c r="I100" s="44">
        <v>30</v>
      </c>
      <c r="J100" s="44">
        <v>36</v>
      </c>
      <c r="K100" s="44">
        <v>38</v>
      </c>
      <c r="L100" s="44">
        <v>50</v>
      </c>
      <c r="M100" s="44">
        <v>30</v>
      </c>
      <c r="N100" s="44">
        <v>89</v>
      </c>
      <c r="O100" s="44">
        <v>178</v>
      </c>
      <c r="P100" s="44">
        <v>12</v>
      </c>
      <c r="Q100" s="44">
        <v>42</v>
      </c>
      <c r="R100" s="27"/>
    </row>
    <row r="101" spans="1:18" ht="15.75" customHeight="1">
      <c r="A101" s="23"/>
      <c r="B101" s="10" t="s">
        <v>22</v>
      </c>
      <c r="C101" s="10" t="s">
        <v>202</v>
      </c>
      <c r="D101" s="72" t="s">
        <v>339</v>
      </c>
      <c r="E101" s="73"/>
      <c r="F101" s="10"/>
      <c r="G101" s="10"/>
      <c r="H101" s="10" t="s">
        <v>437</v>
      </c>
      <c r="I101" s="44">
        <v>30</v>
      </c>
      <c r="J101" s="44">
        <v>36</v>
      </c>
      <c r="K101" s="44">
        <v>38</v>
      </c>
      <c r="L101" s="44">
        <v>50</v>
      </c>
      <c r="M101" s="44">
        <v>30</v>
      </c>
      <c r="N101" s="44">
        <v>89</v>
      </c>
      <c r="O101" s="44">
        <v>178</v>
      </c>
      <c r="P101" s="44">
        <v>12</v>
      </c>
      <c r="Q101" s="44">
        <v>42</v>
      </c>
      <c r="R101" s="27"/>
    </row>
    <row r="102" spans="1:18" ht="15.75" customHeight="1">
      <c r="A102" s="23"/>
      <c r="B102" s="10" t="s">
        <v>22</v>
      </c>
      <c r="C102" s="10" t="s">
        <v>438</v>
      </c>
      <c r="D102" s="72" t="s">
        <v>339</v>
      </c>
      <c r="E102" s="73"/>
      <c r="F102" s="10"/>
      <c r="G102" s="10"/>
      <c r="H102" s="10" t="s">
        <v>439</v>
      </c>
      <c r="I102" s="44">
        <v>30</v>
      </c>
      <c r="J102" s="44">
        <v>36</v>
      </c>
      <c r="K102" s="44">
        <v>38</v>
      </c>
      <c r="L102" s="44">
        <v>50</v>
      </c>
      <c r="M102" s="44">
        <v>30</v>
      </c>
      <c r="N102" s="44">
        <v>89</v>
      </c>
      <c r="O102" s="44">
        <v>178</v>
      </c>
      <c r="P102" s="44">
        <v>12</v>
      </c>
      <c r="Q102" s="44">
        <v>42</v>
      </c>
      <c r="R102" s="27"/>
    </row>
    <row r="103" spans="1:18" ht="15.75" customHeight="1">
      <c r="A103" s="23"/>
      <c r="B103" s="10" t="s">
        <v>22</v>
      </c>
      <c r="C103" s="10" t="s">
        <v>440</v>
      </c>
      <c r="D103" s="72" t="s">
        <v>339</v>
      </c>
      <c r="E103" s="73"/>
      <c r="F103" s="10"/>
      <c r="G103" s="10"/>
      <c r="H103" s="10" t="s">
        <v>433</v>
      </c>
      <c r="I103" s="44">
        <v>30</v>
      </c>
      <c r="J103" s="44">
        <v>36</v>
      </c>
      <c r="K103" s="44">
        <v>38</v>
      </c>
      <c r="L103" s="44">
        <v>50</v>
      </c>
      <c r="M103" s="44">
        <v>30</v>
      </c>
      <c r="N103" s="44">
        <v>89</v>
      </c>
      <c r="O103" s="44">
        <v>178</v>
      </c>
      <c r="P103" s="44">
        <v>12</v>
      </c>
      <c r="Q103" s="44">
        <v>42</v>
      </c>
      <c r="R103" s="27"/>
    </row>
    <row r="104" spans="1:18" ht="15.75" customHeight="1">
      <c r="A104" s="23"/>
      <c r="B104" s="10" t="s">
        <v>22</v>
      </c>
      <c r="C104" s="10" t="s">
        <v>208</v>
      </c>
      <c r="D104" s="72" t="s">
        <v>339</v>
      </c>
      <c r="E104" s="73"/>
      <c r="F104" s="10"/>
      <c r="G104" s="10"/>
      <c r="H104" s="10" t="s">
        <v>441</v>
      </c>
      <c r="I104" s="44">
        <v>30</v>
      </c>
      <c r="J104" s="44">
        <v>36</v>
      </c>
      <c r="K104" s="44">
        <v>38</v>
      </c>
      <c r="L104" s="44">
        <v>50</v>
      </c>
      <c r="M104" s="44">
        <v>30</v>
      </c>
      <c r="N104" s="44">
        <v>89</v>
      </c>
      <c r="O104" s="44">
        <v>178</v>
      </c>
      <c r="P104" s="44">
        <v>12</v>
      </c>
      <c r="Q104" s="44">
        <v>42</v>
      </c>
      <c r="R104" s="27"/>
    </row>
    <row r="105" spans="1:18" ht="15.75" customHeight="1">
      <c r="A105" s="23"/>
      <c r="B105" s="10" t="s">
        <v>22</v>
      </c>
      <c r="C105" s="10" t="s">
        <v>210</v>
      </c>
      <c r="D105" s="72" t="s">
        <v>339</v>
      </c>
      <c r="E105" s="73"/>
      <c r="F105" s="10"/>
      <c r="G105" s="10"/>
      <c r="H105" s="10" t="s">
        <v>442</v>
      </c>
      <c r="I105" s="44">
        <v>24</v>
      </c>
      <c r="J105" s="44">
        <v>30</v>
      </c>
      <c r="K105" s="44">
        <v>36</v>
      </c>
      <c r="L105" s="44">
        <v>56</v>
      </c>
      <c r="M105" s="44">
        <v>24</v>
      </c>
      <c r="N105" s="44">
        <v>71</v>
      </c>
      <c r="O105" s="44">
        <v>178</v>
      </c>
      <c r="P105" s="44">
        <v>12</v>
      </c>
      <c r="Q105" s="44">
        <v>42</v>
      </c>
      <c r="R105" s="27"/>
    </row>
    <row r="106" spans="1:18" ht="15.75" customHeight="1">
      <c r="A106" s="23"/>
      <c r="B106" s="10" t="s">
        <v>22</v>
      </c>
      <c r="C106" s="10" t="s">
        <v>212</v>
      </c>
      <c r="D106" s="72" t="s">
        <v>339</v>
      </c>
      <c r="E106" s="73"/>
      <c r="F106" s="10"/>
      <c r="G106" s="10"/>
      <c r="H106" s="10" t="s">
        <v>443</v>
      </c>
      <c r="I106" s="44">
        <v>30</v>
      </c>
      <c r="J106" s="44">
        <v>36</v>
      </c>
      <c r="K106" s="44">
        <v>38</v>
      </c>
      <c r="L106" s="44">
        <v>50</v>
      </c>
      <c r="M106" s="44">
        <v>30</v>
      </c>
      <c r="N106" s="44">
        <v>89</v>
      </c>
      <c r="O106" s="44">
        <v>178</v>
      </c>
      <c r="P106" s="44">
        <v>12</v>
      </c>
      <c r="Q106" s="44">
        <v>42</v>
      </c>
      <c r="R106" s="27"/>
    </row>
    <row r="107" spans="1:18" ht="15.75" customHeight="1">
      <c r="A107" s="23"/>
      <c r="B107" s="10" t="s">
        <v>22</v>
      </c>
      <c r="C107" s="10" t="s">
        <v>214</v>
      </c>
      <c r="D107" s="72" t="s">
        <v>339</v>
      </c>
      <c r="E107" s="73"/>
      <c r="F107" s="10"/>
      <c r="G107" s="10"/>
      <c r="H107" s="10" t="s">
        <v>442</v>
      </c>
      <c r="I107" s="44">
        <v>15</v>
      </c>
      <c r="J107" s="44">
        <v>18</v>
      </c>
      <c r="K107" s="44">
        <v>19</v>
      </c>
      <c r="L107" s="44">
        <v>25</v>
      </c>
      <c r="M107" s="44">
        <v>15</v>
      </c>
      <c r="N107" s="44">
        <v>45</v>
      </c>
      <c r="O107" s="44">
        <v>89</v>
      </c>
      <c r="P107" s="44">
        <v>12</v>
      </c>
      <c r="Q107" s="44">
        <v>42</v>
      </c>
      <c r="R107" s="27"/>
    </row>
    <row r="108" spans="1:18" ht="15.75" customHeight="1">
      <c r="A108" s="23"/>
      <c r="B108" s="10" t="s">
        <v>22</v>
      </c>
      <c r="C108" s="10" t="s">
        <v>216</v>
      </c>
      <c r="D108" s="72" t="s">
        <v>339</v>
      </c>
      <c r="E108" s="73"/>
      <c r="F108" s="10"/>
      <c r="G108" s="10"/>
      <c r="H108" s="10" t="s">
        <v>444</v>
      </c>
      <c r="I108" s="44">
        <v>30</v>
      </c>
      <c r="J108" s="44">
        <v>36</v>
      </c>
      <c r="K108" s="44">
        <v>38</v>
      </c>
      <c r="L108" s="44">
        <v>50</v>
      </c>
      <c r="M108" s="44">
        <v>30</v>
      </c>
      <c r="N108" s="44">
        <v>89</v>
      </c>
      <c r="O108" s="44">
        <v>178</v>
      </c>
      <c r="P108" s="44">
        <v>12</v>
      </c>
      <c r="Q108" s="44">
        <v>42</v>
      </c>
      <c r="R108" s="27"/>
    </row>
    <row r="109" spans="1:18" ht="15.75" customHeight="1">
      <c r="A109" s="23"/>
      <c r="B109" s="10" t="s">
        <v>22</v>
      </c>
      <c r="C109" s="10" t="s">
        <v>218</v>
      </c>
      <c r="D109" s="72" t="s">
        <v>339</v>
      </c>
      <c r="E109" s="73"/>
      <c r="F109" s="10"/>
      <c r="G109" s="10"/>
      <c r="H109" s="10" t="s">
        <v>445</v>
      </c>
      <c r="I109" s="44">
        <v>30</v>
      </c>
      <c r="J109" s="44">
        <v>36</v>
      </c>
      <c r="K109" s="44">
        <v>38</v>
      </c>
      <c r="L109" s="44">
        <v>50</v>
      </c>
      <c r="M109" s="44">
        <v>30</v>
      </c>
      <c r="N109" s="44">
        <v>89</v>
      </c>
      <c r="O109" s="44">
        <v>178</v>
      </c>
      <c r="P109" s="44">
        <v>12</v>
      </c>
      <c r="Q109" s="44">
        <v>42</v>
      </c>
      <c r="R109" s="27"/>
    </row>
    <row r="110" spans="1:18" ht="15.75" customHeight="1">
      <c r="A110" s="23"/>
      <c r="B110" s="10" t="s">
        <v>22</v>
      </c>
      <c r="C110" s="10" t="s">
        <v>446</v>
      </c>
      <c r="D110" s="72" t="s">
        <v>339</v>
      </c>
      <c r="E110" s="73"/>
      <c r="F110" s="10"/>
      <c r="G110" s="10"/>
      <c r="H110" s="10" t="s">
        <v>447</v>
      </c>
      <c r="I110" s="44">
        <v>30</v>
      </c>
      <c r="J110" s="44">
        <v>36</v>
      </c>
      <c r="K110" s="44">
        <v>38</v>
      </c>
      <c r="L110" s="44">
        <v>50</v>
      </c>
      <c r="M110" s="44">
        <v>30</v>
      </c>
      <c r="N110" s="44">
        <v>89</v>
      </c>
      <c r="O110" s="44">
        <v>178</v>
      </c>
      <c r="P110" s="44">
        <v>12</v>
      </c>
      <c r="Q110" s="44">
        <v>42</v>
      </c>
      <c r="R110" s="27"/>
    </row>
    <row r="111" spans="1:18" ht="15.75" customHeight="1">
      <c r="A111" s="23"/>
      <c r="B111" s="10" t="s">
        <v>22</v>
      </c>
      <c r="C111" s="10" t="s">
        <v>448</v>
      </c>
      <c r="D111" s="72" t="s">
        <v>339</v>
      </c>
      <c r="E111" s="73"/>
      <c r="F111" s="10"/>
      <c r="G111" s="10"/>
      <c r="H111" s="10" t="s">
        <v>442</v>
      </c>
      <c r="I111" s="44">
        <v>30</v>
      </c>
      <c r="J111" s="44">
        <v>36</v>
      </c>
      <c r="K111" s="44">
        <v>38</v>
      </c>
      <c r="L111" s="44">
        <v>50</v>
      </c>
      <c r="M111" s="44">
        <v>30</v>
      </c>
      <c r="N111" s="44">
        <v>89</v>
      </c>
      <c r="O111" s="44">
        <v>178</v>
      </c>
      <c r="P111" s="44">
        <v>12</v>
      </c>
      <c r="Q111" s="44">
        <v>42</v>
      </c>
      <c r="R111" s="27"/>
    </row>
    <row r="112" spans="1:18" ht="15.75" customHeight="1">
      <c r="A112" s="23"/>
      <c r="B112" s="10" t="s">
        <v>22</v>
      </c>
      <c r="C112" s="10" t="s">
        <v>224</v>
      </c>
      <c r="D112" s="72" t="s">
        <v>339</v>
      </c>
      <c r="E112" s="73"/>
      <c r="F112" s="10"/>
      <c r="G112" s="10"/>
      <c r="H112" s="10" t="s">
        <v>449</v>
      </c>
      <c r="I112" s="44">
        <v>24</v>
      </c>
      <c r="J112" s="44">
        <v>30</v>
      </c>
      <c r="K112" s="44">
        <v>36</v>
      </c>
      <c r="L112" s="44">
        <v>56</v>
      </c>
      <c r="M112" s="44">
        <v>24</v>
      </c>
      <c r="N112" s="44">
        <v>71</v>
      </c>
      <c r="O112" s="44">
        <v>178</v>
      </c>
      <c r="P112" s="44">
        <v>12</v>
      </c>
      <c r="Q112" s="44">
        <v>42</v>
      </c>
      <c r="R112" s="27"/>
    </row>
    <row r="113" spans="1:18" ht="15.75" customHeight="1">
      <c r="A113" s="23"/>
      <c r="B113" s="10" t="s">
        <v>22</v>
      </c>
      <c r="C113" s="10" t="s">
        <v>226</v>
      </c>
      <c r="D113" s="72" t="s">
        <v>339</v>
      </c>
      <c r="E113" s="73"/>
      <c r="F113" s="10"/>
      <c r="G113" s="10"/>
      <c r="H113" s="10" t="s">
        <v>450</v>
      </c>
      <c r="I113" s="44">
        <v>30</v>
      </c>
      <c r="J113" s="44">
        <v>36</v>
      </c>
      <c r="K113" s="44">
        <v>38</v>
      </c>
      <c r="L113" s="44">
        <v>50</v>
      </c>
      <c r="M113" s="44">
        <v>30</v>
      </c>
      <c r="N113" s="44">
        <v>89</v>
      </c>
      <c r="O113" s="44">
        <v>178</v>
      </c>
      <c r="P113" s="44">
        <v>12</v>
      </c>
      <c r="Q113" s="44">
        <v>42</v>
      </c>
      <c r="R113" s="27"/>
    </row>
    <row r="114" spans="1:18" ht="15.75" customHeight="1">
      <c r="A114" s="23"/>
      <c r="B114" s="10" t="s">
        <v>22</v>
      </c>
      <c r="C114" s="10" t="s">
        <v>228</v>
      </c>
      <c r="D114" s="72" t="s">
        <v>339</v>
      </c>
      <c r="E114" s="73"/>
      <c r="F114" s="10"/>
      <c r="G114" s="10"/>
      <c r="H114" s="10" t="s">
        <v>449</v>
      </c>
      <c r="I114" s="44">
        <v>15</v>
      </c>
      <c r="J114" s="44">
        <v>18</v>
      </c>
      <c r="K114" s="44">
        <v>19</v>
      </c>
      <c r="L114" s="44">
        <v>25</v>
      </c>
      <c r="M114" s="44">
        <v>15</v>
      </c>
      <c r="N114" s="44">
        <v>45</v>
      </c>
      <c r="O114" s="44">
        <v>89</v>
      </c>
      <c r="P114" s="44">
        <v>12</v>
      </c>
      <c r="Q114" s="44">
        <v>42</v>
      </c>
      <c r="R114" s="27"/>
    </row>
    <row r="115" spans="1:18" ht="15.75" customHeight="1">
      <c r="A115" s="23"/>
      <c r="B115" s="10" t="s">
        <v>22</v>
      </c>
      <c r="C115" s="10" t="s">
        <v>230</v>
      </c>
      <c r="D115" s="72" t="s">
        <v>339</v>
      </c>
      <c r="E115" s="73"/>
      <c r="F115" s="10"/>
      <c r="G115" s="10"/>
      <c r="H115" s="10" t="s">
        <v>451</v>
      </c>
      <c r="I115" s="44">
        <v>30</v>
      </c>
      <c r="J115" s="44">
        <v>36</v>
      </c>
      <c r="K115" s="44">
        <v>38</v>
      </c>
      <c r="L115" s="44">
        <v>50</v>
      </c>
      <c r="M115" s="44">
        <v>30</v>
      </c>
      <c r="N115" s="44">
        <v>89</v>
      </c>
      <c r="O115" s="44">
        <v>178</v>
      </c>
      <c r="P115" s="44">
        <v>12</v>
      </c>
      <c r="Q115" s="44">
        <v>42</v>
      </c>
      <c r="R115" s="27"/>
    </row>
    <row r="116" spans="1:18" ht="15.75" customHeight="1">
      <c r="A116" s="23"/>
      <c r="B116" s="10" t="s">
        <v>22</v>
      </c>
      <c r="C116" s="10" t="s">
        <v>232</v>
      </c>
      <c r="D116" s="72" t="s">
        <v>339</v>
      </c>
      <c r="E116" s="73"/>
      <c r="F116" s="10"/>
      <c r="G116" s="10"/>
      <c r="H116" s="10" t="s">
        <v>449</v>
      </c>
      <c r="I116" s="44">
        <v>30</v>
      </c>
      <c r="J116" s="44">
        <v>36</v>
      </c>
      <c r="K116" s="44">
        <v>38</v>
      </c>
      <c r="L116" s="44">
        <v>50</v>
      </c>
      <c r="M116" s="44">
        <v>30</v>
      </c>
      <c r="N116" s="44">
        <v>89</v>
      </c>
      <c r="O116" s="44">
        <v>178</v>
      </c>
      <c r="P116" s="44">
        <v>12</v>
      </c>
      <c r="Q116" s="44">
        <v>42</v>
      </c>
      <c r="R116" s="27"/>
    </row>
    <row r="117" spans="1:18" ht="15.75" customHeight="1">
      <c r="A117" s="23"/>
      <c r="B117" s="10" t="s">
        <v>22</v>
      </c>
      <c r="C117" s="10" t="s">
        <v>452</v>
      </c>
      <c r="D117" s="72" t="s">
        <v>339</v>
      </c>
      <c r="E117" s="73"/>
      <c r="F117" s="10"/>
      <c r="G117" s="10"/>
      <c r="H117" s="10" t="s">
        <v>453</v>
      </c>
      <c r="I117" s="44">
        <v>30</v>
      </c>
      <c r="J117" s="44">
        <v>36</v>
      </c>
      <c r="K117" s="44">
        <v>38</v>
      </c>
      <c r="L117" s="44">
        <v>50</v>
      </c>
      <c r="M117" s="44">
        <v>30</v>
      </c>
      <c r="N117" s="44">
        <v>89</v>
      </c>
      <c r="O117" s="44">
        <v>178</v>
      </c>
      <c r="P117" s="44">
        <v>12</v>
      </c>
      <c r="Q117" s="44">
        <v>42</v>
      </c>
      <c r="R117" s="27"/>
    </row>
    <row r="118" spans="1:18" ht="15.75" customHeight="1">
      <c r="A118" s="23"/>
      <c r="B118" s="10" t="s">
        <v>22</v>
      </c>
      <c r="C118" s="10" t="s">
        <v>454</v>
      </c>
      <c r="D118" s="72" t="s">
        <v>339</v>
      </c>
      <c r="E118" s="73"/>
      <c r="F118" s="10"/>
      <c r="G118" s="10"/>
      <c r="H118" s="10" t="s">
        <v>449</v>
      </c>
      <c r="I118" s="44">
        <v>30</v>
      </c>
      <c r="J118" s="44">
        <v>36</v>
      </c>
      <c r="K118" s="44">
        <v>38</v>
      </c>
      <c r="L118" s="44">
        <v>50</v>
      </c>
      <c r="M118" s="44">
        <v>30</v>
      </c>
      <c r="N118" s="44">
        <v>89</v>
      </c>
      <c r="O118" s="44">
        <v>178</v>
      </c>
      <c r="P118" s="44">
        <v>12</v>
      </c>
      <c r="Q118" s="44">
        <v>42</v>
      </c>
      <c r="R118" s="27"/>
    </row>
    <row r="119" spans="1:18" ht="15.75" customHeight="1">
      <c r="A119" s="23"/>
      <c r="B119" s="10" t="s">
        <v>22</v>
      </c>
      <c r="C119" s="10" t="s">
        <v>238</v>
      </c>
      <c r="D119" s="72" t="s">
        <v>339</v>
      </c>
      <c r="E119" s="73"/>
      <c r="F119" s="10"/>
      <c r="G119" s="10"/>
      <c r="H119" s="10" t="s">
        <v>455</v>
      </c>
      <c r="I119" s="44">
        <v>15</v>
      </c>
      <c r="J119" s="44">
        <v>18</v>
      </c>
      <c r="K119" s="44">
        <v>19</v>
      </c>
      <c r="L119" s="44">
        <v>25</v>
      </c>
      <c r="M119" s="44">
        <v>15</v>
      </c>
      <c r="N119" s="44">
        <v>45</v>
      </c>
      <c r="O119" s="44">
        <v>89</v>
      </c>
      <c r="P119" s="44">
        <v>12</v>
      </c>
      <c r="Q119" s="44">
        <v>42</v>
      </c>
      <c r="R119" s="27"/>
    </row>
    <row r="120" spans="1:18" ht="15.75" customHeight="1">
      <c r="A120" s="23"/>
      <c r="B120" s="10" t="s">
        <v>22</v>
      </c>
      <c r="C120" s="10" t="s">
        <v>240</v>
      </c>
      <c r="D120" s="72" t="s">
        <v>339</v>
      </c>
      <c r="E120" s="73"/>
      <c r="F120" s="10"/>
      <c r="G120" s="10"/>
      <c r="H120" s="10" t="s">
        <v>455</v>
      </c>
      <c r="I120" s="44">
        <v>30</v>
      </c>
      <c r="J120" s="44">
        <v>36</v>
      </c>
      <c r="K120" s="44">
        <v>38</v>
      </c>
      <c r="L120" s="44">
        <v>50</v>
      </c>
      <c r="M120" s="44">
        <v>30</v>
      </c>
      <c r="N120" s="44">
        <v>89</v>
      </c>
      <c r="O120" s="44">
        <v>178</v>
      </c>
      <c r="P120" s="44">
        <v>12</v>
      </c>
      <c r="Q120" s="44">
        <v>42</v>
      </c>
      <c r="R120" s="27"/>
    </row>
    <row r="121" spans="1:18" ht="15.75" customHeight="1">
      <c r="A121" s="23"/>
      <c r="B121" s="10" t="s">
        <v>22</v>
      </c>
      <c r="C121" s="10" t="s">
        <v>242</v>
      </c>
      <c r="D121" s="72" t="s">
        <v>339</v>
      </c>
      <c r="E121" s="73"/>
      <c r="F121" s="10"/>
      <c r="G121" s="10"/>
      <c r="H121" s="10" t="s">
        <v>456</v>
      </c>
      <c r="I121" s="44">
        <v>30</v>
      </c>
      <c r="J121" s="44">
        <v>36</v>
      </c>
      <c r="K121" s="44">
        <v>38</v>
      </c>
      <c r="L121" s="44">
        <v>50</v>
      </c>
      <c r="M121" s="44">
        <v>30</v>
      </c>
      <c r="N121" s="44">
        <v>89</v>
      </c>
      <c r="O121" s="44">
        <v>178</v>
      </c>
      <c r="P121" s="44">
        <v>12</v>
      </c>
      <c r="Q121" s="44">
        <v>42</v>
      </c>
      <c r="R121" s="27"/>
    </row>
    <row r="122" spans="1:18" ht="15.75" customHeight="1">
      <c r="A122" s="23"/>
      <c r="B122" s="10" t="s">
        <v>22</v>
      </c>
      <c r="C122" s="10" t="s">
        <v>457</v>
      </c>
      <c r="D122" s="72" t="s">
        <v>339</v>
      </c>
      <c r="E122" s="73"/>
      <c r="F122" s="10"/>
      <c r="G122" s="10"/>
      <c r="H122" s="10" t="s">
        <v>458</v>
      </c>
      <c r="I122" s="44">
        <v>30</v>
      </c>
      <c r="J122" s="44">
        <v>36</v>
      </c>
      <c r="K122" s="44">
        <v>38</v>
      </c>
      <c r="L122" s="44">
        <v>50</v>
      </c>
      <c r="M122" s="44">
        <v>30</v>
      </c>
      <c r="N122" s="44">
        <v>89</v>
      </c>
      <c r="O122" s="44">
        <v>178</v>
      </c>
      <c r="P122" s="44">
        <v>12</v>
      </c>
      <c r="Q122" s="44">
        <v>42</v>
      </c>
      <c r="R122" s="27"/>
    </row>
    <row r="123" spans="1:18" ht="15.75" customHeight="1">
      <c r="A123" s="23"/>
      <c r="B123" s="10" t="s">
        <v>22</v>
      </c>
      <c r="C123" s="10" t="s">
        <v>459</v>
      </c>
      <c r="D123" s="72" t="s">
        <v>339</v>
      </c>
      <c r="E123" s="73"/>
      <c r="F123" s="10"/>
      <c r="G123" s="10"/>
      <c r="H123" s="10" t="s">
        <v>455</v>
      </c>
      <c r="I123" s="44">
        <v>30</v>
      </c>
      <c r="J123" s="44">
        <v>36</v>
      </c>
      <c r="K123" s="44">
        <v>38</v>
      </c>
      <c r="L123" s="44">
        <v>50</v>
      </c>
      <c r="M123" s="44">
        <v>30</v>
      </c>
      <c r="N123" s="44">
        <v>89</v>
      </c>
      <c r="O123" s="44">
        <v>178</v>
      </c>
      <c r="P123" s="44">
        <v>12</v>
      </c>
      <c r="Q123" s="44">
        <v>42</v>
      </c>
      <c r="R123" s="27"/>
    </row>
    <row r="124" spans="1:18" ht="15.75" customHeight="1">
      <c r="A124" s="23"/>
      <c r="B124" s="10" t="s">
        <v>22</v>
      </c>
      <c r="C124" s="10" t="s">
        <v>248</v>
      </c>
      <c r="D124" s="72" t="s">
        <v>339</v>
      </c>
      <c r="E124" s="73"/>
      <c r="F124" s="10"/>
      <c r="G124" s="10"/>
      <c r="H124" s="10" t="s">
        <v>460</v>
      </c>
      <c r="I124" s="44">
        <v>30</v>
      </c>
      <c r="J124" s="44">
        <v>36</v>
      </c>
      <c r="K124" s="44">
        <v>38</v>
      </c>
      <c r="L124" s="44">
        <v>50</v>
      </c>
      <c r="M124" s="44">
        <v>30</v>
      </c>
      <c r="N124" s="44">
        <v>89</v>
      </c>
      <c r="O124" s="44">
        <v>178</v>
      </c>
      <c r="P124" s="44">
        <v>12</v>
      </c>
      <c r="Q124" s="44">
        <v>42</v>
      </c>
      <c r="R124" s="27"/>
    </row>
    <row r="125" spans="1:18" ht="15.75" customHeight="1">
      <c r="A125" s="23"/>
      <c r="B125" s="10" t="s">
        <v>22</v>
      </c>
      <c r="C125" s="10" t="s">
        <v>461</v>
      </c>
      <c r="D125" s="72" t="s">
        <v>339</v>
      </c>
      <c r="E125" s="73"/>
      <c r="F125" s="10"/>
      <c r="G125" s="10"/>
      <c r="H125" s="10" t="s">
        <v>462</v>
      </c>
      <c r="I125" s="44">
        <v>30</v>
      </c>
      <c r="J125" s="44">
        <v>36</v>
      </c>
      <c r="K125" s="44">
        <v>38</v>
      </c>
      <c r="L125" s="44">
        <v>50</v>
      </c>
      <c r="M125" s="44">
        <v>30</v>
      </c>
      <c r="N125" s="44">
        <v>89</v>
      </c>
      <c r="O125" s="44">
        <v>178</v>
      </c>
      <c r="P125" s="44">
        <v>12</v>
      </c>
      <c r="Q125" s="44">
        <v>42</v>
      </c>
      <c r="R125" s="27"/>
    </row>
    <row r="126" spans="1:18" ht="15.75" customHeight="1">
      <c r="A126" s="23"/>
      <c r="B126" s="10" t="s">
        <v>22</v>
      </c>
      <c r="C126" s="10" t="s">
        <v>463</v>
      </c>
      <c r="D126" s="72" t="s">
        <v>339</v>
      </c>
      <c r="E126" s="73"/>
      <c r="F126" s="10"/>
      <c r="G126" s="10"/>
      <c r="H126" s="10" t="s">
        <v>464</v>
      </c>
      <c r="I126" s="44">
        <v>30</v>
      </c>
      <c r="J126" s="44">
        <v>36</v>
      </c>
      <c r="K126" s="44">
        <v>38</v>
      </c>
      <c r="L126" s="44">
        <v>50</v>
      </c>
      <c r="M126" s="44">
        <v>30</v>
      </c>
      <c r="N126" s="44">
        <v>89</v>
      </c>
      <c r="O126" s="44">
        <v>178</v>
      </c>
      <c r="P126" s="44">
        <v>12</v>
      </c>
      <c r="Q126" s="44">
        <v>42</v>
      </c>
      <c r="R126" s="27"/>
    </row>
    <row r="127" spans="1:18" ht="15.75" customHeight="1">
      <c r="A127" s="23"/>
      <c r="B127" s="10" t="s">
        <v>22</v>
      </c>
      <c r="C127" s="10" t="s">
        <v>465</v>
      </c>
      <c r="D127" s="72" t="s">
        <v>339</v>
      </c>
      <c r="E127" s="73"/>
      <c r="F127" s="10"/>
      <c r="G127" s="10"/>
      <c r="H127" s="10" t="s">
        <v>466</v>
      </c>
      <c r="I127" s="44">
        <v>30</v>
      </c>
      <c r="J127" s="44">
        <v>36</v>
      </c>
      <c r="K127" s="44">
        <v>38</v>
      </c>
      <c r="L127" s="44">
        <v>50</v>
      </c>
      <c r="M127" s="44">
        <v>30</v>
      </c>
      <c r="N127" s="44">
        <v>89</v>
      </c>
      <c r="O127" s="44">
        <v>178</v>
      </c>
      <c r="P127" s="44">
        <v>12</v>
      </c>
      <c r="Q127" s="44">
        <v>42</v>
      </c>
      <c r="R127" s="27"/>
    </row>
    <row r="128" spans="1:18" ht="15.75" customHeight="1">
      <c r="A128" s="23"/>
      <c r="B128" s="10" t="s">
        <v>22</v>
      </c>
      <c r="C128" s="10" t="s">
        <v>467</v>
      </c>
      <c r="D128" s="72" t="s">
        <v>339</v>
      </c>
      <c r="E128" s="73"/>
      <c r="F128" s="10"/>
      <c r="G128" s="10"/>
      <c r="H128" s="10" t="s">
        <v>466</v>
      </c>
      <c r="I128" s="44">
        <v>30</v>
      </c>
      <c r="J128" s="44">
        <v>36</v>
      </c>
      <c r="K128" s="44">
        <v>38</v>
      </c>
      <c r="L128" s="44">
        <v>50</v>
      </c>
      <c r="M128" s="44">
        <v>30</v>
      </c>
      <c r="N128" s="44">
        <v>89</v>
      </c>
      <c r="O128" s="44">
        <v>178</v>
      </c>
      <c r="P128" s="44">
        <v>12</v>
      </c>
      <c r="Q128" s="44">
        <v>42</v>
      </c>
      <c r="R128" s="27"/>
    </row>
    <row r="129" spans="1:18" ht="15.75" customHeight="1">
      <c r="A129" s="23"/>
      <c r="B129" s="10" t="s">
        <v>22</v>
      </c>
      <c r="C129" s="10" t="s">
        <v>468</v>
      </c>
      <c r="D129" s="72" t="s">
        <v>339</v>
      </c>
      <c r="E129" s="73"/>
      <c r="F129" s="10"/>
      <c r="G129" s="10"/>
      <c r="H129" s="10" t="s">
        <v>469</v>
      </c>
      <c r="I129" s="44">
        <v>30</v>
      </c>
      <c r="J129" s="44">
        <v>36</v>
      </c>
      <c r="K129" s="44">
        <v>38</v>
      </c>
      <c r="L129" s="44">
        <v>50</v>
      </c>
      <c r="M129" s="44">
        <v>30</v>
      </c>
      <c r="N129" s="44">
        <v>89</v>
      </c>
      <c r="O129" s="44">
        <v>178</v>
      </c>
      <c r="P129" s="44">
        <v>12</v>
      </c>
      <c r="Q129" s="44">
        <v>42</v>
      </c>
      <c r="R129" s="27"/>
    </row>
    <row r="130" spans="1:18" ht="15.75" customHeight="1">
      <c r="A130" s="23"/>
      <c r="B130" s="10" t="s">
        <v>22</v>
      </c>
      <c r="C130" s="10" t="s">
        <v>260</v>
      </c>
      <c r="D130" s="72" t="s">
        <v>339</v>
      </c>
      <c r="E130" s="73"/>
      <c r="F130" s="10"/>
      <c r="G130" s="10"/>
      <c r="H130" s="10" t="s">
        <v>464</v>
      </c>
      <c r="I130" s="44">
        <v>24</v>
      </c>
      <c r="J130" s="44">
        <v>30</v>
      </c>
      <c r="K130" s="44">
        <v>36</v>
      </c>
      <c r="L130" s="44">
        <v>56</v>
      </c>
      <c r="M130" s="44">
        <v>24</v>
      </c>
      <c r="N130" s="44">
        <v>71</v>
      </c>
      <c r="O130" s="44">
        <v>178</v>
      </c>
      <c r="P130" s="44">
        <v>12</v>
      </c>
      <c r="Q130" s="44">
        <v>42</v>
      </c>
      <c r="R130" s="27"/>
    </row>
    <row r="131" spans="1:18" ht="15.75" customHeight="1">
      <c r="A131" s="23"/>
      <c r="B131" s="10" t="s">
        <v>22</v>
      </c>
      <c r="C131" s="10" t="s">
        <v>262</v>
      </c>
      <c r="D131" s="72" t="s">
        <v>339</v>
      </c>
      <c r="E131" s="73"/>
      <c r="F131" s="10"/>
      <c r="G131" s="10"/>
      <c r="H131" s="10" t="s">
        <v>464</v>
      </c>
      <c r="I131" s="44">
        <v>15</v>
      </c>
      <c r="J131" s="44">
        <v>18</v>
      </c>
      <c r="K131" s="44">
        <v>19</v>
      </c>
      <c r="L131" s="44">
        <v>25</v>
      </c>
      <c r="M131" s="44">
        <v>15</v>
      </c>
      <c r="N131" s="44">
        <v>45</v>
      </c>
      <c r="O131" s="44">
        <v>89</v>
      </c>
      <c r="P131" s="44">
        <v>12</v>
      </c>
      <c r="Q131" s="44">
        <v>42</v>
      </c>
      <c r="R131" s="27"/>
    </row>
    <row r="132" spans="1:18" ht="15.75" customHeight="1">
      <c r="A132" s="23"/>
      <c r="B132" s="10" t="s">
        <v>22</v>
      </c>
      <c r="C132" s="10" t="s">
        <v>264</v>
      </c>
      <c r="D132" s="72" t="s">
        <v>339</v>
      </c>
      <c r="E132" s="73"/>
      <c r="F132" s="10"/>
      <c r="G132" s="10"/>
      <c r="H132" s="10"/>
      <c r="I132" s="44">
        <v>24</v>
      </c>
      <c r="J132" s="44">
        <v>30</v>
      </c>
      <c r="K132" s="44">
        <v>36</v>
      </c>
      <c r="L132" s="44">
        <v>56</v>
      </c>
      <c r="M132" s="44">
        <v>24</v>
      </c>
      <c r="N132" s="44">
        <v>71</v>
      </c>
      <c r="O132" s="44">
        <v>178</v>
      </c>
      <c r="P132" s="44">
        <v>12</v>
      </c>
      <c r="Q132" s="44">
        <v>42</v>
      </c>
      <c r="R132" s="27"/>
    </row>
    <row r="133" spans="1:18" ht="15.75" customHeight="1">
      <c r="A133" s="23"/>
      <c r="B133" s="10" t="s">
        <v>22</v>
      </c>
      <c r="C133" s="10" t="s">
        <v>470</v>
      </c>
      <c r="D133" s="72" t="s">
        <v>339</v>
      </c>
      <c r="E133" s="73"/>
      <c r="F133" s="10"/>
      <c r="G133" s="10"/>
      <c r="H133" s="10" t="s">
        <v>469</v>
      </c>
      <c r="I133" s="44">
        <v>24</v>
      </c>
      <c r="J133" s="44">
        <v>30</v>
      </c>
      <c r="K133" s="44">
        <v>36</v>
      </c>
      <c r="L133" s="44">
        <v>56</v>
      </c>
      <c r="M133" s="44">
        <v>24</v>
      </c>
      <c r="N133" s="44">
        <v>71</v>
      </c>
      <c r="O133" s="44">
        <v>178</v>
      </c>
      <c r="P133" s="44">
        <v>12</v>
      </c>
      <c r="Q133" s="44">
        <v>42</v>
      </c>
      <c r="R133" s="27"/>
    </row>
    <row r="134" spans="1:18" ht="15.75" customHeight="1">
      <c r="A134" s="23"/>
      <c r="B134" s="10" t="s">
        <v>22</v>
      </c>
      <c r="C134" s="10" t="s">
        <v>471</v>
      </c>
      <c r="D134" s="72" t="s">
        <v>339</v>
      </c>
      <c r="E134" s="73"/>
      <c r="F134" s="10"/>
      <c r="G134" s="10"/>
      <c r="H134" s="10" t="s">
        <v>469</v>
      </c>
      <c r="I134" s="44">
        <v>15</v>
      </c>
      <c r="J134" s="44">
        <v>18</v>
      </c>
      <c r="K134" s="44">
        <v>19</v>
      </c>
      <c r="L134" s="44">
        <v>25</v>
      </c>
      <c r="M134" s="44">
        <v>15</v>
      </c>
      <c r="N134" s="44">
        <v>45</v>
      </c>
      <c r="O134" s="44">
        <v>89</v>
      </c>
      <c r="P134" s="44">
        <v>12</v>
      </c>
      <c r="Q134" s="44">
        <v>42</v>
      </c>
      <c r="R134" s="27"/>
    </row>
    <row r="135" spans="1:18" ht="15.75" customHeight="1">
      <c r="A135" s="23"/>
      <c r="B135" s="10" t="s">
        <v>22</v>
      </c>
      <c r="C135" s="10" t="s">
        <v>472</v>
      </c>
      <c r="D135" s="72" t="s">
        <v>339</v>
      </c>
      <c r="E135" s="73"/>
      <c r="F135" s="10"/>
      <c r="G135" s="10"/>
      <c r="H135" s="10"/>
      <c r="I135" s="44">
        <v>24</v>
      </c>
      <c r="J135" s="44">
        <v>30</v>
      </c>
      <c r="K135" s="44">
        <v>36</v>
      </c>
      <c r="L135" s="44">
        <v>56</v>
      </c>
      <c r="M135" s="44">
        <v>24</v>
      </c>
      <c r="N135" s="44">
        <v>71</v>
      </c>
      <c r="O135" s="44">
        <v>178</v>
      </c>
      <c r="P135" s="44">
        <v>12</v>
      </c>
      <c r="Q135" s="44">
        <v>42</v>
      </c>
      <c r="R135" s="27"/>
    </row>
    <row r="136" spans="1:18" ht="15.75" customHeight="1">
      <c r="A136" s="23"/>
      <c r="B136" s="10" t="s">
        <v>22</v>
      </c>
      <c r="C136" s="10" t="s">
        <v>473</v>
      </c>
      <c r="D136" s="72" t="s">
        <v>339</v>
      </c>
      <c r="E136" s="73"/>
      <c r="F136" s="10"/>
      <c r="G136" s="10"/>
      <c r="H136" s="10"/>
      <c r="I136" s="44">
        <v>15</v>
      </c>
      <c r="J136" s="44">
        <v>18</v>
      </c>
      <c r="K136" s="44">
        <v>19</v>
      </c>
      <c r="L136" s="44">
        <v>25</v>
      </c>
      <c r="M136" s="44">
        <v>15</v>
      </c>
      <c r="N136" s="44">
        <v>45</v>
      </c>
      <c r="O136" s="44">
        <v>89</v>
      </c>
      <c r="P136" s="44">
        <v>12</v>
      </c>
      <c r="Q136" s="44">
        <v>42</v>
      </c>
      <c r="R136" s="27"/>
    </row>
    <row r="137" spans="1:18" ht="15.75" customHeight="1">
      <c r="A137" s="23"/>
      <c r="B137" s="29" t="s">
        <v>22</v>
      </c>
      <c r="C137" s="29" t="s">
        <v>474</v>
      </c>
      <c r="D137" s="45" t="s">
        <v>36</v>
      </c>
      <c r="E137" s="26"/>
      <c r="F137" s="26"/>
      <c r="G137" s="26"/>
      <c r="H137" s="23" t="s">
        <v>475</v>
      </c>
      <c r="I137" s="44">
        <v>30</v>
      </c>
      <c r="J137" s="44">
        <v>36</v>
      </c>
      <c r="K137" s="44">
        <v>38</v>
      </c>
      <c r="L137" s="44">
        <v>50</v>
      </c>
      <c r="M137" s="44">
        <v>30</v>
      </c>
      <c r="N137" s="44">
        <v>89</v>
      </c>
      <c r="O137" s="44">
        <v>178</v>
      </c>
      <c r="P137" s="44">
        <v>30</v>
      </c>
      <c r="Q137" s="44">
        <v>65</v>
      </c>
      <c r="R137" s="27"/>
    </row>
    <row r="138" spans="1:18" ht="15.75" customHeight="1">
      <c r="A138" s="23"/>
      <c r="B138" s="24"/>
      <c r="C138" s="24"/>
      <c r="D138" s="25"/>
      <c r="E138" s="26"/>
      <c r="F138" s="26"/>
      <c r="G138" s="26"/>
      <c r="H138" s="23"/>
      <c r="I138" s="27"/>
      <c r="J138" s="27"/>
      <c r="K138" s="27"/>
      <c r="L138" s="27"/>
      <c r="M138" s="27"/>
      <c r="N138" s="27"/>
      <c r="O138" s="27"/>
      <c r="P138" s="27"/>
      <c r="Q138" s="27"/>
      <c r="R138" s="27"/>
    </row>
    <row r="139" spans="1:18" ht="15.75" customHeight="1">
      <c r="A139" s="23"/>
      <c r="B139" s="24"/>
      <c r="C139" s="24"/>
      <c r="D139" s="25"/>
      <c r="E139" s="26"/>
      <c r="F139" s="26"/>
      <c r="G139" s="26"/>
      <c r="H139" s="23"/>
      <c r="I139" s="27"/>
      <c r="J139" s="27"/>
      <c r="K139" s="27"/>
      <c r="L139" s="27"/>
      <c r="M139" s="27"/>
      <c r="N139" s="27"/>
      <c r="O139" s="27"/>
      <c r="P139" s="27"/>
      <c r="Q139" s="27"/>
      <c r="R139" s="27"/>
    </row>
    <row r="140" spans="1:18" ht="15.75" customHeight="1">
      <c r="A140" s="23"/>
      <c r="B140" s="24"/>
      <c r="C140" s="24"/>
      <c r="D140" s="25"/>
      <c r="E140" s="26"/>
      <c r="F140" s="26"/>
      <c r="G140" s="26"/>
      <c r="H140" s="23"/>
      <c r="I140" s="27"/>
      <c r="J140" s="27"/>
      <c r="K140" s="27"/>
      <c r="L140" s="27"/>
      <c r="M140" s="27"/>
      <c r="N140" s="27"/>
      <c r="O140" s="27"/>
      <c r="P140" s="27"/>
      <c r="Q140" s="27"/>
      <c r="R140" s="27"/>
    </row>
    <row r="141" spans="1:18" ht="15.75" customHeight="1">
      <c r="A141" s="23"/>
      <c r="B141" s="24"/>
      <c r="C141" s="24"/>
      <c r="D141" s="25"/>
      <c r="E141" s="26"/>
      <c r="F141" s="26"/>
      <c r="G141" s="26"/>
      <c r="H141" s="23"/>
      <c r="I141" s="27"/>
      <c r="J141" s="27"/>
      <c r="K141" s="27"/>
      <c r="L141" s="27"/>
      <c r="M141" s="27"/>
      <c r="N141" s="27"/>
      <c r="O141" s="27"/>
      <c r="P141" s="27"/>
      <c r="Q141" s="27"/>
      <c r="R141" s="27"/>
    </row>
    <row r="142" spans="1:18" ht="15.75" customHeight="1">
      <c r="A142" s="23"/>
      <c r="B142" s="24"/>
      <c r="C142" s="24"/>
      <c r="D142" s="25"/>
      <c r="E142" s="26"/>
      <c r="F142" s="26"/>
      <c r="G142" s="26"/>
      <c r="H142" s="23"/>
      <c r="I142" s="27"/>
      <c r="J142" s="27"/>
      <c r="K142" s="27"/>
      <c r="L142" s="27"/>
      <c r="M142" s="27"/>
      <c r="N142" s="27"/>
      <c r="O142" s="27"/>
      <c r="P142" s="27"/>
      <c r="Q142" s="27"/>
      <c r="R142" s="27"/>
    </row>
    <row r="143" spans="1:18" ht="15.75" customHeight="1">
      <c r="A143" s="23"/>
      <c r="B143" s="24"/>
      <c r="C143" s="24"/>
      <c r="D143" s="25"/>
      <c r="E143" s="26"/>
      <c r="F143" s="26"/>
      <c r="G143" s="26"/>
      <c r="H143" s="23"/>
      <c r="I143" s="27"/>
      <c r="J143" s="27"/>
      <c r="K143" s="27"/>
      <c r="L143" s="27"/>
      <c r="M143" s="27"/>
      <c r="N143" s="27"/>
      <c r="O143" s="27"/>
      <c r="P143" s="27"/>
      <c r="Q143" s="27"/>
      <c r="R143" s="27"/>
    </row>
    <row r="144" spans="1:18" ht="15.75" customHeight="1">
      <c r="A144" s="23"/>
      <c r="B144" s="24"/>
      <c r="C144" s="24"/>
      <c r="D144" s="25"/>
      <c r="E144" s="26"/>
      <c r="F144" s="26"/>
      <c r="G144" s="26"/>
      <c r="H144" s="23"/>
      <c r="I144" s="27"/>
      <c r="J144" s="27"/>
      <c r="K144" s="27"/>
      <c r="L144" s="27"/>
      <c r="M144" s="27"/>
      <c r="N144" s="27"/>
      <c r="O144" s="27"/>
      <c r="P144" s="27"/>
      <c r="Q144" s="27"/>
      <c r="R144" s="27"/>
    </row>
    <row r="145" spans="1:18" ht="15.75" customHeight="1">
      <c r="A145" s="23"/>
      <c r="B145" s="24"/>
      <c r="C145" s="24"/>
      <c r="D145" s="25"/>
      <c r="E145" s="26"/>
      <c r="F145" s="26"/>
      <c r="G145" s="26"/>
      <c r="H145" s="23"/>
      <c r="I145" s="27"/>
      <c r="J145" s="27"/>
      <c r="K145" s="27"/>
      <c r="L145" s="27"/>
      <c r="M145" s="27"/>
      <c r="N145" s="27"/>
      <c r="O145" s="27"/>
      <c r="P145" s="27"/>
      <c r="Q145" s="27"/>
      <c r="R145" s="27"/>
    </row>
    <row r="146" spans="1:18" ht="15.75" customHeight="1">
      <c r="A146" s="23"/>
      <c r="B146" s="24"/>
      <c r="C146" s="24"/>
      <c r="D146" s="25"/>
      <c r="E146" s="26"/>
      <c r="F146" s="26"/>
      <c r="G146" s="26"/>
      <c r="H146" s="23"/>
      <c r="I146" s="27"/>
      <c r="J146" s="27"/>
      <c r="K146" s="27"/>
      <c r="L146" s="27"/>
      <c r="M146" s="27"/>
      <c r="N146" s="27"/>
      <c r="O146" s="27"/>
      <c r="P146" s="27"/>
      <c r="Q146" s="27"/>
      <c r="R146" s="27"/>
    </row>
    <row r="147" spans="1:18" ht="15.75" customHeight="1">
      <c r="A147" s="23"/>
      <c r="B147" s="24"/>
      <c r="C147" s="24"/>
      <c r="D147" s="25"/>
      <c r="E147" s="26"/>
      <c r="F147" s="26"/>
      <c r="G147" s="26"/>
      <c r="H147" s="23"/>
      <c r="I147" s="27"/>
      <c r="J147" s="27"/>
      <c r="K147" s="27"/>
      <c r="L147" s="27"/>
      <c r="M147" s="27"/>
      <c r="N147" s="27"/>
      <c r="O147" s="27"/>
      <c r="P147" s="27"/>
      <c r="Q147" s="27"/>
      <c r="R147" s="27"/>
    </row>
    <row r="148" spans="1:18" ht="15.75" customHeight="1">
      <c r="A148" s="23"/>
      <c r="B148" s="24"/>
      <c r="C148" s="24"/>
      <c r="D148" s="25"/>
      <c r="E148" s="26"/>
      <c r="F148" s="26"/>
      <c r="G148" s="26"/>
      <c r="H148" s="23"/>
      <c r="I148" s="27"/>
      <c r="J148" s="27"/>
      <c r="K148" s="27"/>
      <c r="L148" s="27"/>
      <c r="M148" s="27"/>
      <c r="N148" s="27"/>
      <c r="O148" s="27"/>
      <c r="P148" s="27"/>
      <c r="Q148" s="27"/>
      <c r="R148" s="27"/>
    </row>
    <row r="149" spans="1:18" ht="15.75" customHeight="1">
      <c r="A149" s="23"/>
      <c r="B149" s="24"/>
      <c r="C149" s="24"/>
      <c r="D149" s="25"/>
      <c r="E149" s="26"/>
      <c r="F149" s="26"/>
      <c r="G149" s="26"/>
      <c r="H149" s="23"/>
      <c r="I149" s="27"/>
      <c r="J149" s="27"/>
      <c r="K149" s="27"/>
      <c r="L149" s="27"/>
      <c r="M149" s="27"/>
      <c r="N149" s="27"/>
      <c r="O149" s="27"/>
      <c r="P149" s="27"/>
      <c r="Q149" s="27"/>
      <c r="R149" s="27"/>
    </row>
    <row r="150" spans="1:18" ht="15.75" customHeight="1">
      <c r="A150" s="23"/>
      <c r="B150" s="24"/>
      <c r="C150" s="24"/>
      <c r="D150" s="25"/>
      <c r="E150" s="26"/>
      <c r="F150" s="26"/>
      <c r="G150" s="26"/>
      <c r="H150" s="23"/>
      <c r="I150" s="27"/>
      <c r="J150" s="27"/>
      <c r="K150" s="27"/>
      <c r="L150" s="27"/>
      <c r="M150" s="27"/>
      <c r="N150" s="27"/>
      <c r="O150" s="27"/>
      <c r="P150" s="27"/>
      <c r="Q150" s="27"/>
      <c r="R150" s="27"/>
    </row>
    <row r="151" spans="1:18" ht="15.75" customHeight="1">
      <c r="A151" s="23"/>
      <c r="B151" s="24"/>
      <c r="C151" s="24"/>
      <c r="D151" s="25"/>
      <c r="E151" s="26"/>
      <c r="F151" s="26"/>
      <c r="G151" s="26"/>
      <c r="H151" s="23"/>
      <c r="I151" s="27"/>
      <c r="J151" s="27"/>
      <c r="K151" s="27"/>
      <c r="L151" s="27"/>
      <c r="M151" s="27"/>
      <c r="N151" s="27"/>
      <c r="O151" s="27"/>
      <c r="P151" s="27"/>
      <c r="Q151" s="27"/>
      <c r="R151" s="27"/>
    </row>
    <row r="152" spans="1:18" ht="15.75" customHeight="1">
      <c r="A152" s="23"/>
      <c r="B152" s="24"/>
      <c r="C152" s="24"/>
      <c r="D152" s="25"/>
      <c r="E152" s="26"/>
      <c r="F152" s="26"/>
      <c r="G152" s="26"/>
      <c r="H152" s="23"/>
      <c r="I152" s="27"/>
      <c r="J152" s="27"/>
      <c r="K152" s="27"/>
      <c r="L152" s="27"/>
      <c r="M152" s="27"/>
      <c r="N152" s="27"/>
      <c r="O152" s="27"/>
      <c r="P152" s="27"/>
      <c r="Q152" s="27"/>
      <c r="R152" s="27"/>
    </row>
    <row r="153" spans="1:18" ht="15.75" customHeight="1">
      <c r="A153" s="23"/>
      <c r="B153" s="24"/>
      <c r="C153" s="24"/>
      <c r="D153" s="25"/>
      <c r="E153" s="26"/>
      <c r="F153" s="26"/>
      <c r="G153" s="26"/>
      <c r="H153" s="23"/>
      <c r="I153" s="27"/>
      <c r="J153" s="27"/>
      <c r="K153" s="27"/>
      <c r="L153" s="27"/>
      <c r="M153" s="27"/>
      <c r="N153" s="27"/>
      <c r="O153" s="27"/>
      <c r="P153" s="27"/>
      <c r="Q153" s="27"/>
      <c r="R153" s="27"/>
    </row>
    <row r="154" spans="1:18" ht="15.75" customHeight="1">
      <c r="A154" s="23"/>
      <c r="B154" s="24"/>
      <c r="C154" s="24"/>
      <c r="D154" s="25"/>
      <c r="E154" s="26"/>
      <c r="F154" s="26"/>
      <c r="G154" s="26"/>
      <c r="H154" s="23"/>
      <c r="I154" s="27"/>
      <c r="J154" s="27"/>
      <c r="K154" s="27"/>
      <c r="L154" s="27"/>
      <c r="M154" s="27"/>
      <c r="N154" s="27"/>
      <c r="O154" s="27"/>
      <c r="P154" s="27"/>
      <c r="Q154" s="27"/>
      <c r="R154" s="27"/>
    </row>
    <row r="155" spans="1:18" ht="15.75" customHeight="1">
      <c r="A155" s="23"/>
      <c r="B155" s="24"/>
      <c r="C155" s="24"/>
      <c r="D155" s="25"/>
      <c r="E155" s="26"/>
      <c r="F155" s="26"/>
      <c r="G155" s="26"/>
      <c r="H155" s="23"/>
      <c r="I155" s="27"/>
      <c r="J155" s="27"/>
      <c r="K155" s="27"/>
      <c r="L155" s="27"/>
      <c r="M155" s="27"/>
      <c r="N155" s="27"/>
      <c r="O155" s="27"/>
      <c r="P155" s="27"/>
      <c r="Q155" s="27"/>
      <c r="R155" s="27"/>
    </row>
    <row r="156" spans="1:18" ht="15.75" customHeight="1">
      <c r="A156" s="23"/>
      <c r="B156" s="24"/>
      <c r="C156" s="24"/>
      <c r="D156" s="25"/>
      <c r="E156" s="26"/>
      <c r="F156" s="26"/>
      <c r="G156" s="26"/>
      <c r="H156" s="23"/>
      <c r="I156" s="27"/>
      <c r="J156" s="27"/>
      <c r="K156" s="27"/>
      <c r="L156" s="27"/>
      <c r="M156" s="27"/>
      <c r="N156" s="27"/>
      <c r="O156" s="27"/>
      <c r="P156" s="27"/>
      <c r="Q156" s="27"/>
      <c r="R156" s="27"/>
    </row>
    <row r="157" spans="1:18" ht="15.75" customHeight="1"/>
    <row r="158" spans="1:18" ht="15.75" customHeight="1"/>
    <row r="159" spans="1:18" ht="15.75" customHeight="1"/>
    <row r="160" spans="1:18"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D79:E79"/>
    <mergeCell ref="D80:E80"/>
    <mergeCell ref="D81:E81"/>
    <mergeCell ref="D82:E82"/>
    <mergeCell ref="D83:E83"/>
    <mergeCell ref="D74:E74"/>
    <mergeCell ref="D75:E75"/>
    <mergeCell ref="D76:E76"/>
    <mergeCell ref="D77:E77"/>
    <mergeCell ref="D78:E78"/>
    <mergeCell ref="D69:E69"/>
    <mergeCell ref="D70:E70"/>
    <mergeCell ref="D71:E71"/>
    <mergeCell ref="D72:E72"/>
    <mergeCell ref="D73:E73"/>
    <mergeCell ref="D64:E64"/>
    <mergeCell ref="D65:E65"/>
    <mergeCell ref="D66:E66"/>
    <mergeCell ref="D67:E67"/>
    <mergeCell ref="D68:E68"/>
    <mergeCell ref="D59:E59"/>
    <mergeCell ref="D60:E60"/>
    <mergeCell ref="D61:E61"/>
    <mergeCell ref="D62:E62"/>
    <mergeCell ref="D63:E63"/>
    <mergeCell ref="D54:E54"/>
    <mergeCell ref="D55:E55"/>
    <mergeCell ref="D56:E56"/>
    <mergeCell ref="D57:E57"/>
    <mergeCell ref="D58:E58"/>
    <mergeCell ref="D49:E49"/>
    <mergeCell ref="D50:E50"/>
    <mergeCell ref="D51:E51"/>
    <mergeCell ref="D52:E52"/>
    <mergeCell ref="D53:E53"/>
    <mergeCell ref="H1:H4"/>
    <mergeCell ref="I1:O1"/>
    <mergeCell ref="I2:O2"/>
    <mergeCell ref="I3:O3"/>
    <mergeCell ref="A1:A4"/>
    <mergeCell ref="B1:B4"/>
    <mergeCell ref="C1:C4"/>
    <mergeCell ref="D1:D4"/>
    <mergeCell ref="E1:E4"/>
    <mergeCell ref="F1:F4"/>
    <mergeCell ref="G1:G4"/>
    <mergeCell ref="D136:E136"/>
    <mergeCell ref="D126:E126"/>
    <mergeCell ref="D127:E127"/>
    <mergeCell ref="D128:E128"/>
    <mergeCell ref="D129:E129"/>
    <mergeCell ref="D130:E130"/>
    <mergeCell ref="D131:E131"/>
    <mergeCell ref="D132:E132"/>
    <mergeCell ref="D124:E124"/>
    <mergeCell ref="D125:E125"/>
    <mergeCell ref="D133:E133"/>
    <mergeCell ref="D134:E134"/>
    <mergeCell ref="D135:E135"/>
    <mergeCell ref="D119:E119"/>
    <mergeCell ref="D120:E120"/>
    <mergeCell ref="D121:E121"/>
    <mergeCell ref="D122:E122"/>
    <mergeCell ref="D123:E123"/>
    <mergeCell ref="D114:E114"/>
    <mergeCell ref="D115:E115"/>
    <mergeCell ref="D116:E116"/>
    <mergeCell ref="D117:E117"/>
    <mergeCell ref="D118:E118"/>
    <mergeCell ref="D109:E109"/>
    <mergeCell ref="D110:E110"/>
    <mergeCell ref="D111:E111"/>
    <mergeCell ref="D112:E112"/>
    <mergeCell ref="D113:E113"/>
    <mergeCell ref="D104:E104"/>
    <mergeCell ref="D105:E105"/>
    <mergeCell ref="D106:E106"/>
    <mergeCell ref="D107:E107"/>
    <mergeCell ref="D108:E108"/>
    <mergeCell ref="D99:E99"/>
    <mergeCell ref="D100:E100"/>
    <mergeCell ref="D101:E101"/>
    <mergeCell ref="D102:E102"/>
    <mergeCell ref="D103:E103"/>
    <mergeCell ref="D94:E94"/>
    <mergeCell ref="D95:E95"/>
    <mergeCell ref="D96:E96"/>
    <mergeCell ref="D97:E97"/>
    <mergeCell ref="D98:E98"/>
    <mergeCell ref="D89:E89"/>
    <mergeCell ref="D90:E90"/>
    <mergeCell ref="D91:E91"/>
    <mergeCell ref="D92:E92"/>
    <mergeCell ref="D93:E93"/>
    <mergeCell ref="D84:E84"/>
    <mergeCell ref="D85:E85"/>
    <mergeCell ref="D86:E86"/>
    <mergeCell ref="D87:E87"/>
    <mergeCell ref="D88:E88"/>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S1000"/>
  <sheetViews>
    <sheetView workbookViewId="0">
      <pane ySplit="4" topLeftCell="A140" activePane="bottomLeft" state="frozen"/>
      <selection pane="bottomLeft" activeCell="B6" sqref="B6"/>
    </sheetView>
  </sheetViews>
  <sheetFormatPr defaultColWidth="12.6328125" defaultRowHeight="15" customHeight="1"/>
  <cols>
    <col min="1" max="1" width="9.26953125" customWidth="1"/>
    <col min="2" max="2" width="18.90625" customWidth="1"/>
    <col min="3" max="3" width="34" customWidth="1"/>
    <col min="4" max="4" width="16.7265625" customWidth="1"/>
    <col min="5" max="7" width="8.6328125" customWidth="1"/>
    <col min="8" max="8" width="35.7265625" customWidth="1"/>
    <col min="9" max="9" width="18.36328125" customWidth="1"/>
    <col min="10" max="10" width="21.6328125" customWidth="1"/>
    <col min="11" max="11" width="22.453125" customWidth="1"/>
    <col min="12" max="12" width="24.26953125" customWidth="1"/>
    <col min="13" max="13" width="17.08984375" customWidth="1"/>
    <col min="14" max="14" width="11.7265625" customWidth="1"/>
    <col min="15" max="15" width="24" customWidth="1"/>
    <col min="16" max="19" width="12.7265625" customWidth="1"/>
  </cols>
  <sheetData>
    <row r="1" spans="1:19" ht="15.75" customHeight="1">
      <c r="A1" s="78" t="s">
        <v>0</v>
      </c>
      <c r="B1" s="78" t="s">
        <v>1</v>
      </c>
      <c r="C1" s="78" t="s">
        <v>2</v>
      </c>
      <c r="D1" s="80" t="s">
        <v>3</v>
      </c>
      <c r="E1" s="78" t="s">
        <v>4</v>
      </c>
      <c r="F1" s="78" t="s">
        <v>5</v>
      </c>
      <c r="G1" s="78" t="s">
        <v>6</v>
      </c>
      <c r="H1" s="78" t="s">
        <v>7</v>
      </c>
      <c r="I1" s="79" t="s">
        <v>8</v>
      </c>
      <c r="J1" s="75"/>
      <c r="K1" s="75"/>
      <c r="L1" s="75"/>
      <c r="M1" s="75"/>
      <c r="N1" s="75"/>
      <c r="O1" s="76"/>
      <c r="P1" s="22"/>
      <c r="Q1" s="22"/>
      <c r="R1" s="22"/>
      <c r="S1" s="22"/>
    </row>
    <row r="2" spans="1:19" ht="15.75" customHeight="1">
      <c r="A2" s="69"/>
      <c r="B2" s="69"/>
      <c r="C2" s="69"/>
      <c r="D2" s="69"/>
      <c r="E2" s="69"/>
      <c r="F2" s="69"/>
      <c r="G2" s="69"/>
      <c r="H2" s="69"/>
      <c r="I2" s="79" t="s">
        <v>328</v>
      </c>
      <c r="J2" s="75"/>
      <c r="K2" s="75"/>
      <c r="L2" s="75"/>
      <c r="M2" s="75"/>
      <c r="N2" s="75"/>
      <c r="O2" s="76"/>
      <c r="P2" s="22"/>
      <c r="Q2" s="22"/>
      <c r="R2" s="22"/>
      <c r="S2" s="22"/>
    </row>
    <row r="3" spans="1:19" ht="15.75" customHeight="1">
      <c r="A3" s="69"/>
      <c r="B3" s="69"/>
      <c r="C3" s="69"/>
      <c r="D3" s="69"/>
      <c r="E3" s="69"/>
      <c r="F3" s="69"/>
      <c r="G3" s="69"/>
      <c r="H3" s="69"/>
      <c r="I3" s="79"/>
      <c r="J3" s="75"/>
      <c r="K3" s="75"/>
      <c r="L3" s="75"/>
      <c r="M3" s="75"/>
      <c r="N3" s="75"/>
      <c r="O3" s="76"/>
      <c r="P3" s="22"/>
      <c r="Q3" s="22"/>
      <c r="R3" s="22"/>
      <c r="S3" s="22"/>
    </row>
    <row r="4" spans="1:19" ht="15.75" customHeight="1">
      <c r="A4" s="70"/>
      <c r="B4" s="70"/>
      <c r="C4" s="70"/>
      <c r="D4" s="70"/>
      <c r="E4" s="70"/>
      <c r="F4" s="70"/>
      <c r="G4" s="70"/>
      <c r="H4" s="70"/>
      <c r="I4" s="3" t="s">
        <v>10</v>
      </c>
      <c r="J4" s="3" t="s">
        <v>11</v>
      </c>
      <c r="K4" s="3" t="s">
        <v>12</v>
      </c>
      <c r="L4" s="3" t="s">
        <v>13</v>
      </c>
      <c r="M4" s="3" t="s">
        <v>14</v>
      </c>
      <c r="N4" s="3" t="s">
        <v>15</v>
      </c>
      <c r="O4" s="3" t="s">
        <v>16</v>
      </c>
      <c r="P4" s="3" t="s">
        <v>17</v>
      </c>
      <c r="Q4" s="3" t="s">
        <v>18</v>
      </c>
      <c r="R4" s="3" t="s">
        <v>19</v>
      </c>
      <c r="S4" s="3" t="s">
        <v>20</v>
      </c>
    </row>
    <row r="5" spans="1:19" ht="15.75" customHeight="1">
      <c r="A5" s="23"/>
      <c r="B5" s="24"/>
      <c r="C5" s="24"/>
      <c r="D5" s="25"/>
      <c r="E5" s="26"/>
      <c r="F5" s="26"/>
      <c r="G5" s="26"/>
      <c r="H5" s="23"/>
      <c r="I5" s="22"/>
      <c r="J5" s="22"/>
      <c r="K5" s="22"/>
      <c r="L5" s="22"/>
      <c r="M5" s="27"/>
      <c r="N5" s="27"/>
      <c r="O5" s="27"/>
      <c r="P5" s="27"/>
      <c r="Q5" s="27"/>
      <c r="R5" s="27"/>
      <c r="S5" s="27"/>
    </row>
    <row r="6" spans="1:19" ht="15.75" customHeight="1">
      <c r="A6" s="10"/>
      <c r="B6" s="10" t="s">
        <v>21</v>
      </c>
      <c r="C6" s="10" t="s">
        <v>22</v>
      </c>
      <c r="D6" s="72" t="s">
        <v>332</v>
      </c>
      <c r="E6" s="73"/>
      <c r="F6" s="73"/>
      <c r="G6" s="10"/>
      <c r="H6" s="10" t="s">
        <v>476</v>
      </c>
      <c r="I6" s="46">
        <v>12</v>
      </c>
      <c r="J6" s="44">
        <v>18</v>
      </c>
      <c r="K6" s="44">
        <v>12</v>
      </c>
      <c r="L6" s="44">
        <v>24</v>
      </c>
      <c r="M6" s="44">
        <v>35</v>
      </c>
      <c r="N6" s="44">
        <v>47</v>
      </c>
      <c r="O6" s="44">
        <v>59</v>
      </c>
      <c r="P6" s="44">
        <v>74</v>
      </c>
      <c r="Q6" s="44">
        <v>74</v>
      </c>
      <c r="R6" s="44">
        <v>12</v>
      </c>
      <c r="S6" s="44">
        <v>24</v>
      </c>
    </row>
    <row r="7" spans="1:19" ht="15.75" customHeight="1">
      <c r="A7" s="10"/>
      <c r="B7" s="10" t="s">
        <v>21</v>
      </c>
      <c r="C7" s="10" t="s">
        <v>25</v>
      </c>
      <c r="D7" s="72" t="s">
        <v>335</v>
      </c>
      <c r="E7" s="73"/>
      <c r="F7" s="73"/>
      <c r="G7" s="10"/>
      <c r="H7" s="10" t="s">
        <v>336</v>
      </c>
      <c r="I7" s="46">
        <v>18</v>
      </c>
      <c r="J7" s="44">
        <v>24</v>
      </c>
      <c r="K7" s="44">
        <v>18</v>
      </c>
      <c r="L7" s="44">
        <v>30</v>
      </c>
      <c r="M7" s="44">
        <v>70</v>
      </c>
      <c r="N7" s="44">
        <v>94</v>
      </c>
      <c r="O7" s="44">
        <v>108</v>
      </c>
      <c r="P7" s="44">
        <v>148</v>
      </c>
      <c r="Q7" s="44">
        <v>148</v>
      </c>
      <c r="R7" s="44">
        <v>24</v>
      </c>
      <c r="S7" s="44">
        <v>48</v>
      </c>
    </row>
    <row r="8" spans="1:19" ht="15.75" customHeight="1">
      <c r="A8" s="10"/>
      <c r="B8" s="10" t="s">
        <v>22</v>
      </c>
      <c r="C8" s="10" t="s">
        <v>29</v>
      </c>
      <c r="D8" s="10" t="s">
        <v>30</v>
      </c>
      <c r="E8" s="10"/>
      <c r="F8" s="10"/>
      <c r="G8" s="10"/>
      <c r="H8" s="10" t="s">
        <v>337</v>
      </c>
      <c r="I8" s="46">
        <v>41</v>
      </c>
      <c r="J8" s="46">
        <v>47</v>
      </c>
      <c r="K8" s="46">
        <v>53</v>
      </c>
      <c r="L8" s="46">
        <v>65</v>
      </c>
      <c r="M8" s="46">
        <v>165</v>
      </c>
      <c r="N8" s="44">
        <v>236</v>
      </c>
      <c r="O8" s="44">
        <v>295</v>
      </c>
      <c r="P8" s="44">
        <v>354</v>
      </c>
      <c r="Q8" s="46">
        <v>354</v>
      </c>
      <c r="R8" s="46">
        <v>12</v>
      </c>
      <c r="S8" s="46">
        <v>47</v>
      </c>
    </row>
    <row r="9" spans="1:19" ht="15.75" customHeight="1">
      <c r="A9" s="10"/>
      <c r="B9" s="10" t="s">
        <v>22</v>
      </c>
      <c r="C9" s="10" t="s">
        <v>341</v>
      </c>
      <c r="D9" s="72" t="s">
        <v>34</v>
      </c>
      <c r="E9" s="73"/>
      <c r="F9" s="10"/>
      <c r="G9" s="10"/>
      <c r="H9" s="10" t="s">
        <v>342</v>
      </c>
      <c r="I9" s="46">
        <v>47</v>
      </c>
      <c r="J9" s="46">
        <v>53</v>
      </c>
      <c r="K9" s="46">
        <v>59</v>
      </c>
      <c r="L9" s="46">
        <v>71</v>
      </c>
      <c r="M9" s="46">
        <v>195</v>
      </c>
      <c r="N9" s="44">
        <v>295</v>
      </c>
      <c r="O9" s="44">
        <v>383</v>
      </c>
      <c r="P9" s="44">
        <v>427</v>
      </c>
      <c r="Q9" s="44">
        <v>427</v>
      </c>
      <c r="R9" s="44">
        <v>12</v>
      </c>
      <c r="S9" s="44">
        <v>47</v>
      </c>
    </row>
    <row r="10" spans="1:19" ht="15.75" customHeight="1">
      <c r="A10" s="10"/>
      <c r="B10" s="10" t="s">
        <v>22</v>
      </c>
      <c r="C10" s="10" t="s">
        <v>29</v>
      </c>
      <c r="D10" s="10" t="s">
        <v>36</v>
      </c>
      <c r="E10" s="10"/>
      <c r="F10" s="10"/>
      <c r="G10" s="10"/>
      <c r="H10" s="10" t="s">
        <v>343</v>
      </c>
      <c r="I10" s="44">
        <v>77</v>
      </c>
      <c r="J10" s="46">
        <v>83</v>
      </c>
      <c r="K10" s="46">
        <v>89</v>
      </c>
      <c r="L10" s="46">
        <v>101</v>
      </c>
      <c r="M10" s="46">
        <v>225</v>
      </c>
      <c r="N10" s="44">
        <v>324</v>
      </c>
      <c r="O10" s="44">
        <v>445</v>
      </c>
      <c r="P10" s="46">
        <v>560</v>
      </c>
      <c r="Q10" s="46">
        <v>560</v>
      </c>
      <c r="R10" s="46">
        <v>30</v>
      </c>
      <c r="S10" s="46">
        <v>65</v>
      </c>
    </row>
    <row r="11" spans="1:19" ht="15.75" customHeight="1">
      <c r="A11" s="10"/>
      <c r="B11" s="10"/>
      <c r="C11" s="10"/>
      <c r="D11" s="10"/>
      <c r="E11" s="10"/>
      <c r="F11" s="10"/>
      <c r="G11" s="10"/>
      <c r="H11" s="10"/>
      <c r="I11" s="3"/>
      <c r="J11" s="3"/>
      <c r="K11" s="3"/>
      <c r="L11" s="3"/>
      <c r="M11" s="47"/>
      <c r="N11" s="3"/>
      <c r="O11" s="3"/>
      <c r="P11" s="3"/>
      <c r="Q11" s="3"/>
      <c r="R11" s="3"/>
      <c r="S11" s="3"/>
    </row>
    <row r="12" spans="1:19" ht="15.75" customHeight="1">
      <c r="A12" s="10"/>
      <c r="B12" s="10" t="s">
        <v>28</v>
      </c>
      <c r="C12" s="10" t="s">
        <v>38</v>
      </c>
      <c r="D12" s="10" t="s">
        <v>30</v>
      </c>
      <c r="E12" s="10"/>
      <c r="F12" s="10"/>
      <c r="G12" s="10"/>
      <c r="H12" s="10" t="s">
        <v>344</v>
      </c>
      <c r="I12" s="46">
        <v>71</v>
      </c>
      <c r="J12" s="46">
        <v>76</v>
      </c>
      <c r="K12" s="46">
        <v>80</v>
      </c>
      <c r="L12" s="46">
        <v>85</v>
      </c>
      <c r="M12" s="46">
        <v>195</v>
      </c>
      <c r="N12" s="44">
        <v>265</v>
      </c>
      <c r="O12" s="44">
        <v>324</v>
      </c>
      <c r="P12" s="46">
        <v>354</v>
      </c>
      <c r="Q12" s="46">
        <v>354</v>
      </c>
      <c r="R12" s="46">
        <v>12</v>
      </c>
      <c r="S12" s="46">
        <v>47</v>
      </c>
    </row>
    <row r="13" spans="1:19" ht="15.75" customHeight="1">
      <c r="A13" s="10"/>
      <c r="B13" s="10" t="s">
        <v>28</v>
      </c>
      <c r="C13" s="10" t="s">
        <v>38</v>
      </c>
      <c r="D13" s="10" t="s">
        <v>36</v>
      </c>
      <c r="E13" s="10"/>
      <c r="F13" s="10"/>
      <c r="G13" s="10"/>
      <c r="H13" s="10" t="s">
        <v>345</v>
      </c>
      <c r="I13" s="44">
        <v>107</v>
      </c>
      <c r="J13" s="46">
        <v>112</v>
      </c>
      <c r="K13" s="46">
        <v>116</v>
      </c>
      <c r="L13" s="46">
        <v>121</v>
      </c>
      <c r="M13" s="46">
        <v>255</v>
      </c>
      <c r="N13" s="44">
        <v>353</v>
      </c>
      <c r="O13" s="44">
        <v>474</v>
      </c>
      <c r="P13" s="46">
        <v>560</v>
      </c>
      <c r="Q13" s="46">
        <v>560</v>
      </c>
      <c r="R13" s="46">
        <v>30</v>
      </c>
      <c r="S13" s="46">
        <v>65</v>
      </c>
    </row>
    <row r="14" spans="1:19" ht="15.75" customHeight="1">
      <c r="A14" s="10"/>
      <c r="B14" s="10" t="s">
        <v>28</v>
      </c>
      <c r="C14" s="10" t="s">
        <v>41</v>
      </c>
      <c r="D14" s="10" t="s">
        <v>30</v>
      </c>
      <c r="E14" s="10"/>
      <c r="F14" s="10"/>
      <c r="G14" s="10"/>
      <c r="H14" s="10" t="s">
        <v>346</v>
      </c>
      <c r="I14" s="46">
        <v>71</v>
      </c>
      <c r="J14" s="46">
        <v>76</v>
      </c>
      <c r="K14" s="46">
        <v>80</v>
      </c>
      <c r="L14" s="46">
        <v>85</v>
      </c>
      <c r="M14" s="46">
        <v>195</v>
      </c>
      <c r="N14" s="44">
        <v>265</v>
      </c>
      <c r="O14" s="44">
        <v>324</v>
      </c>
      <c r="P14" s="46">
        <v>354</v>
      </c>
      <c r="Q14" s="44">
        <v>354</v>
      </c>
      <c r="R14" s="44">
        <v>12</v>
      </c>
      <c r="S14" s="44">
        <v>47</v>
      </c>
    </row>
    <row r="15" spans="1:19" ht="15.75" customHeight="1">
      <c r="A15" s="10"/>
      <c r="B15" s="10" t="s">
        <v>28</v>
      </c>
      <c r="C15" s="10" t="s">
        <v>41</v>
      </c>
      <c r="D15" s="10" t="s">
        <v>36</v>
      </c>
      <c r="E15" s="10"/>
      <c r="F15" s="10"/>
      <c r="G15" s="10"/>
      <c r="H15" s="10" t="s">
        <v>347</v>
      </c>
      <c r="I15" s="44">
        <v>107</v>
      </c>
      <c r="J15" s="46">
        <v>112</v>
      </c>
      <c r="K15" s="46">
        <v>116</v>
      </c>
      <c r="L15" s="46">
        <v>121</v>
      </c>
      <c r="M15" s="46">
        <v>255</v>
      </c>
      <c r="N15" s="44">
        <v>353</v>
      </c>
      <c r="O15" s="44">
        <v>474</v>
      </c>
      <c r="P15" s="46">
        <v>560</v>
      </c>
      <c r="Q15" s="46">
        <v>560</v>
      </c>
      <c r="R15" s="46">
        <v>30</v>
      </c>
      <c r="S15" s="46">
        <v>65</v>
      </c>
    </row>
    <row r="16" spans="1:19" ht="15.75" customHeight="1">
      <c r="A16" s="10"/>
      <c r="B16" s="10" t="s">
        <v>28</v>
      </c>
      <c r="C16" s="10" t="s">
        <v>477</v>
      </c>
      <c r="D16" s="10" t="s">
        <v>30</v>
      </c>
      <c r="E16" s="10"/>
      <c r="F16" s="10"/>
      <c r="G16" s="10"/>
      <c r="H16" s="10" t="s">
        <v>349</v>
      </c>
      <c r="I16" s="46">
        <v>71</v>
      </c>
      <c r="J16" s="46">
        <v>78</v>
      </c>
      <c r="K16" s="46">
        <v>82</v>
      </c>
      <c r="L16" s="46">
        <v>88</v>
      </c>
      <c r="M16" s="46">
        <v>230</v>
      </c>
      <c r="N16" s="44">
        <v>312</v>
      </c>
      <c r="O16" s="44">
        <v>383</v>
      </c>
      <c r="P16" s="46">
        <v>427</v>
      </c>
      <c r="Q16" s="44">
        <v>427</v>
      </c>
      <c r="R16" s="44">
        <v>12</v>
      </c>
      <c r="S16" s="44">
        <v>47</v>
      </c>
    </row>
    <row r="17" spans="1:19" ht="15.75" customHeight="1">
      <c r="A17" s="10"/>
      <c r="B17" s="10" t="s">
        <v>28</v>
      </c>
      <c r="C17" s="10" t="s">
        <v>478</v>
      </c>
      <c r="D17" s="10" t="s">
        <v>30</v>
      </c>
      <c r="E17" s="10"/>
      <c r="F17" s="10"/>
      <c r="G17" s="10"/>
      <c r="H17" s="10" t="s">
        <v>351</v>
      </c>
      <c r="I17" s="46">
        <v>71</v>
      </c>
      <c r="J17" s="44">
        <v>78</v>
      </c>
      <c r="K17" s="44">
        <v>82</v>
      </c>
      <c r="L17" s="44">
        <v>88</v>
      </c>
      <c r="M17" s="44">
        <v>230</v>
      </c>
      <c r="N17" s="44">
        <v>312</v>
      </c>
      <c r="O17" s="44">
        <v>383</v>
      </c>
      <c r="P17" s="46">
        <v>427</v>
      </c>
      <c r="Q17" s="46">
        <v>427</v>
      </c>
      <c r="R17" s="46">
        <v>12</v>
      </c>
      <c r="S17" s="46">
        <v>47</v>
      </c>
    </row>
    <row r="18" spans="1:19" ht="15.75" customHeight="1">
      <c r="A18" s="10"/>
      <c r="B18" s="10"/>
      <c r="C18" s="10"/>
      <c r="D18" s="10"/>
      <c r="E18" s="10"/>
      <c r="F18" s="10"/>
      <c r="G18" s="10"/>
      <c r="H18" s="10"/>
      <c r="I18" s="3"/>
      <c r="J18" s="3"/>
      <c r="K18" s="3"/>
      <c r="L18" s="3"/>
      <c r="M18" s="3"/>
      <c r="N18" s="3"/>
      <c r="O18" s="3"/>
      <c r="P18" s="3"/>
      <c r="Q18" s="3"/>
      <c r="R18" s="3"/>
      <c r="S18" s="3"/>
    </row>
    <row r="19" spans="1:19" ht="15.75" customHeight="1">
      <c r="A19" s="10"/>
      <c r="B19" s="10" t="s">
        <v>28</v>
      </c>
      <c r="C19" s="10" t="s">
        <v>50</v>
      </c>
      <c r="D19" s="10" t="s">
        <v>30</v>
      </c>
      <c r="E19" s="10"/>
      <c r="F19" s="10"/>
      <c r="G19" s="10"/>
      <c r="H19" s="10" t="s">
        <v>352</v>
      </c>
      <c r="I19" s="44">
        <v>71</v>
      </c>
      <c r="J19" s="44">
        <v>76</v>
      </c>
      <c r="K19" s="44">
        <v>80</v>
      </c>
      <c r="L19" s="44">
        <v>85</v>
      </c>
      <c r="M19" s="44">
        <v>195</v>
      </c>
      <c r="N19" s="44">
        <v>295</v>
      </c>
      <c r="O19" s="44">
        <v>354</v>
      </c>
      <c r="P19" s="44">
        <v>412</v>
      </c>
      <c r="Q19" s="44">
        <v>412</v>
      </c>
      <c r="R19" s="44">
        <v>12</v>
      </c>
      <c r="S19" s="44">
        <v>47</v>
      </c>
    </row>
    <row r="20" spans="1:19" ht="15.75" customHeight="1">
      <c r="A20" s="10"/>
      <c r="B20" s="10" t="s">
        <v>28</v>
      </c>
      <c r="C20" s="10" t="s">
        <v>50</v>
      </c>
      <c r="D20" s="10" t="s">
        <v>36</v>
      </c>
      <c r="E20" s="10"/>
      <c r="F20" s="10"/>
      <c r="G20" s="10"/>
      <c r="H20" s="10" t="s">
        <v>353</v>
      </c>
      <c r="I20" s="44">
        <v>107</v>
      </c>
      <c r="J20" s="46">
        <v>112</v>
      </c>
      <c r="K20" s="46">
        <v>116</v>
      </c>
      <c r="L20" s="46">
        <v>121</v>
      </c>
      <c r="M20" s="46">
        <v>255</v>
      </c>
      <c r="N20" s="44">
        <v>383</v>
      </c>
      <c r="O20" s="44">
        <v>504</v>
      </c>
      <c r="P20" s="46">
        <v>618</v>
      </c>
      <c r="Q20" s="46">
        <v>618</v>
      </c>
      <c r="R20" s="44">
        <v>30</v>
      </c>
      <c r="S20" s="44">
        <v>65</v>
      </c>
    </row>
    <row r="21" spans="1:19" ht="15.75" customHeight="1">
      <c r="A21" s="10"/>
      <c r="B21" s="10" t="s">
        <v>28</v>
      </c>
      <c r="C21" s="10" t="s">
        <v>53</v>
      </c>
      <c r="D21" s="10" t="s">
        <v>30</v>
      </c>
      <c r="E21" s="10"/>
      <c r="F21" s="10"/>
      <c r="G21" s="10"/>
      <c r="H21" s="10" t="s">
        <v>479</v>
      </c>
      <c r="I21" s="44">
        <v>71</v>
      </c>
      <c r="J21" s="44">
        <v>76</v>
      </c>
      <c r="K21" s="44">
        <v>80</v>
      </c>
      <c r="L21" s="44">
        <v>85</v>
      </c>
      <c r="M21" s="44">
        <v>206</v>
      </c>
      <c r="N21" s="44">
        <v>295</v>
      </c>
      <c r="O21" s="44">
        <v>354</v>
      </c>
      <c r="P21" s="44">
        <v>412</v>
      </c>
      <c r="Q21" s="44">
        <v>412</v>
      </c>
      <c r="R21" s="44">
        <v>12</v>
      </c>
      <c r="S21" s="44">
        <v>47</v>
      </c>
    </row>
    <row r="22" spans="1:19" ht="15.75" customHeight="1">
      <c r="A22" s="10"/>
      <c r="B22" s="10" t="s">
        <v>28</v>
      </c>
      <c r="C22" s="10" t="s">
        <v>53</v>
      </c>
      <c r="D22" s="10" t="s">
        <v>36</v>
      </c>
      <c r="E22" s="10"/>
      <c r="F22" s="10"/>
      <c r="G22" s="10"/>
      <c r="H22" s="10" t="s">
        <v>480</v>
      </c>
      <c r="I22" s="44">
        <v>107</v>
      </c>
      <c r="J22" s="46">
        <v>112</v>
      </c>
      <c r="K22" s="46">
        <v>116</v>
      </c>
      <c r="L22" s="46">
        <v>121</v>
      </c>
      <c r="M22" s="46">
        <v>255</v>
      </c>
      <c r="N22" s="44">
        <v>383</v>
      </c>
      <c r="O22" s="44">
        <v>504</v>
      </c>
      <c r="P22" s="46">
        <v>618</v>
      </c>
      <c r="Q22" s="46">
        <v>618</v>
      </c>
      <c r="R22" s="44">
        <v>30</v>
      </c>
      <c r="S22" s="44">
        <v>65</v>
      </c>
    </row>
    <row r="23" spans="1:19" ht="15.75" customHeight="1">
      <c r="A23" s="10"/>
      <c r="B23" s="10" t="s">
        <v>28</v>
      </c>
      <c r="C23" s="10" t="s">
        <v>56</v>
      </c>
      <c r="D23" s="10" t="s">
        <v>30</v>
      </c>
      <c r="E23" s="10"/>
      <c r="F23" s="10"/>
      <c r="G23" s="10"/>
      <c r="H23" s="10" t="s">
        <v>357</v>
      </c>
      <c r="I23" s="44">
        <v>76</v>
      </c>
      <c r="J23" s="44">
        <v>80</v>
      </c>
      <c r="K23" s="44">
        <v>85</v>
      </c>
      <c r="L23" s="44">
        <v>90</v>
      </c>
      <c r="M23" s="44">
        <v>206</v>
      </c>
      <c r="N23" s="44">
        <v>295</v>
      </c>
      <c r="O23" s="44">
        <v>354</v>
      </c>
      <c r="P23" s="44">
        <v>412</v>
      </c>
      <c r="Q23" s="46">
        <v>412</v>
      </c>
      <c r="R23" s="44">
        <v>12</v>
      </c>
      <c r="S23" s="44">
        <v>47</v>
      </c>
    </row>
    <row r="24" spans="1:19" ht="15.75" customHeight="1">
      <c r="A24" s="10"/>
      <c r="B24" s="10" t="s">
        <v>28</v>
      </c>
      <c r="C24" s="10" t="s">
        <v>56</v>
      </c>
      <c r="D24" s="10" t="s">
        <v>36</v>
      </c>
      <c r="E24" s="10"/>
      <c r="F24" s="10"/>
      <c r="G24" s="10"/>
      <c r="H24" s="10" t="s">
        <v>358</v>
      </c>
      <c r="I24" s="44">
        <v>112</v>
      </c>
      <c r="J24" s="46">
        <v>116</v>
      </c>
      <c r="K24" s="46">
        <v>121</v>
      </c>
      <c r="L24" s="46">
        <v>126</v>
      </c>
      <c r="M24" s="46">
        <v>266</v>
      </c>
      <c r="N24" s="44">
        <v>388</v>
      </c>
      <c r="O24" s="44">
        <v>504</v>
      </c>
      <c r="P24" s="46">
        <v>628</v>
      </c>
      <c r="Q24" s="46">
        <v>628</v>
      </c>
      <c r="R24" s="44">
        <v>30</v>
      </c>
      <c r="S24" s="44">
        <v>65</v>
      </c>
    </row>
    <row r="25" spans="1:19" ht="15.75" customHeight="1">
      <c r="A25" s="10"/>
      <c r="B25" s="10"/>
      <c r="C25" s="10"/>
      <c r="D25" s="10"/>
      <c r="E25" s="10"/>
      <c r="F25" s="10"/>
      <c r="G25" s="10"/>
      <c r="H25" s="10"/>
      <c r="I25" s="3"/>
      <c r="J25" s="3"/>
      <c r="K25" s="3"/>
      <c r="L25" s="3"/>
      <c r="M25" s="3"/>
      <c r="N25" s="3"/>
      <c r="O25" s="3"/>
      <c r="P25" s="3"/>
      <c r="Q25" s="3"/>
      <c r="R25" s="3"/>
      <c r="S25" s="3"/>
    </row>
    <row r="26" spans="1:19" ht="15.75" customHeight="1">
      <c r="A26" s="10"/>
      <c r="B26" s="10" t="s">
        <v>28</v>
      </c>
      <c r="C26" s="10" t="s">
        <v>59</v>
      </c>
      <c r="D26" s="10" t="s">
        <v>30</v>
      </c>
      <c r="E26" s="10"/>
      <c r="F26" s="10"/>
      <c r="G26" s="10"/>
      <c r="H26" s="10" t="s">
        <v>359</v>
      </c>
      <c r="I26" s="44">
        <v>71</v>
      </c>
      <c r="J26" s="44">
        <v>76</v>
      </c>
      <c r="K26" s="44">
        <v>80</v>
      </c>
      <c r="L26" s="44">
        <v>85</v>
      </c>
      <c r="M26" s="44">
        <v>195</v>
      </c>
      <c r="N26" s="44">
        <v>265</v>
      </c>
      <c r="O26" s="44">
        <v>324</v>
      </c>
      <c r="P26" s="44">
        <v>354</v>
      </c>
      <c r="Q26" s="44">
        <v>354</v>
      </c>
      <c r="R26" s="44">
        <v>12</v>
      </c>
      <c r="S26" s="44">
        <v>47</v>
      </c>
    </row>
    <row r="27" spans="1:19" ht="15.75" customHeight="1">
      <c r="A27" s="10"/>
      <c r="B27" s="10" t="s">
        <v>28</v>
      </c>
      <c r="C27" s="10" t="s">
        <v>59</v>
      </c>
      <c r="D27" s="10" t="s">
        <v>36</v>
      </c>
      <c r="E27" s="10"/>
      <c r="F27" s="10"/>
      <c r="G27" s="10"/>
      <c r="H27" s="10" t="s">
        <v>360</v>
      </c>
      <c r="I27" s="44">
        <v>107</v>
      </c>
      <c r="J27" s="46">
        <v>112</v>
      </c>
      <c r="K27" s="46">
        <v>116</v>
      </c>
      <c r="L27" s="46">
        <v>121</v>
      </c>
      <c r="M27" s="46">
        <v>255</v>
      </c>
      <c r="N27" s="44">
        <v>383</v>
      </c>
      <c r="O27" s="44">
        <v>504</v>
      </c>
      <c r="P27" s="46">
        <v>618</v>
      </c>
      <c r="Q27" s="46">
        <v>618</v>
      </c>
      <c r="R27" s="44">
        <v>30</v>
      </c>
      <c r="S27" s="44">
        <v>65</v>
      </c>
    </row>
    <row r="28" spans="1:19" ht="15.75" customHeight="1">
      <c r="A28" s="10"/>
      <c r="B28" s="10" t="s">
        <v>28</v>
      </c>
      <c r="C28" s="10" t="s">
        <v>62</v>
      </c>
      <c r="D28" s="10" t="s">
        <v>30</v>
      </c>
      <c r="E28" s="10"/>
      <c r="F28" s="10"/>
      <c r="G28" s="10"/>
      <c r="H28" s="10" t="s">
        <v>361</v>
      </c>
      <c r="I28" s="44">
        <v>71</v>
      </c>
      <c r="J28" s="44">
        <v>76</v>
      </c>
      <c r="K28" s="44">
        <v>80</v>
      </c>
      <c r="L28" s="44">
        <v>85</v>
      </c>
      <c r="M28" s="44">
        <v>195</v>
      </c>
      <c r="N28" s="44">
        <v>265</v>
      </c>
      <c r="O28" s="44">
        <v>324</v>
      </c>
      <c r="P28" s="44">
        <v>383</v>
      </c>
      <c r="Q28" s="44">
        <v>383</v>
      </c>
      <c r="R28" s="44">
        <v>12</v>
      </c>
      <c r="S28" s="44">
        <v>47</v>
      </c>
    </row>
    <row r="29" spans="1:19" ht="15.75" customHeight="1">
      <c r="A29" s="10"/>
      <c r="B29" s="10" t="s">
        <v>28</v>
      </c>
      <c r="C29" s="10" t="s">
        <v>62</v>
      </c>
      <c r="D29" s="10" t="s">
        <v>36</v>
      </c>
      <c r="E29" s="10"/>
      <c r="F29" s="10"/>
      <c r="G29" s="10"/>
      <c r="H29" s="10" t="s">
        <v>362</v>
      </c>
      <c r="I29" s="44">
        <v>107</v>
      </c>
      <c r="J29" s="46">
        <v>112</v>
      </c>
      <c r="K29" s="46">
        <v>116</v>
      </c>
      <c r="L29" s="46">
        <v>121</v>
      </c>
      <c r="M29" s="46">
        <v>255</v>
      </c>
      <c r="N29" s="44">
        <v>383</v>
      </c>
      <c r="O29" s="44">
        <v>504</v>
      </c>
      <c r="P29" s="46">
        <v>618</v>
      </c>
      <c r="Q29" s="46">
        <v>618</v>
      </c>
      <c r="R29" s="44">
        <v>30</v>
      </c>
      <c r="S29" s="44">
        <v>65</v>
      </c>
    </row>
    <row r="30" spans="1:19" ht="15.75" customHeight="1">
      <c r="A30" s="10"/>
      <c r="B30" s="10" t="s">
        <v>28</v>
      </c>
      <c r="C30" s="10" t="s">
        <v>65</v>
      </c>
      <c r="D30" s="10" t="s">
        <v>30</v>
      </c>
      <c r="E30" s="10"/>
      <c r="F30" s="10"/>
      <c r="G30" s="10"/>
      <c r="H30" s="10" t="s">
        <v>363</v>
      </c>
      <c r="I30" s="44">
        <v>71</v>
      </c>
      <c r="J30" s="44">
        <v>76</v>
      </c>
      <c r="K30" s="44">
        <v>80</v>
      </c>
      <c r="L30" s="44">
        <v>85</v>
      </c>
      <c r="M30" s="44">
        <v>195</v>
      </c>
      <c r="N30" s="44">
        <v>265</v>
      </c>
      <c r="O30" s="44">
        <v>324</v>
      </c>
      <c r="P30" s="44">
        <v>383</v>
      </c>
      <c r="Q30" s="46">
        <v>383</v>
      </c>
      <c r="R30" s="44">
        <v>12</v>
      </c>
      <c r="S30" s="44">
        <v>47</v>
      </c>
    </row>
    <row r="31" spans="1:19" ht="15.75" customHeight="1">
      <c r="A31" s="10"/>
      <c r="B31" s="10" t="s">
        <v>28</v>
      </c>
      <c r="C31" s="10" t="s">
        <v>65</v>
      </c>
      <c r="D31" s="10" t="s">
        <v>36</v>
      </c>
      <c r="E31" s="10"/>
      <c r="F31" s="10"/>
      <c r="G31" s="10"/>
      <c r="H31" s="10" t="s">
        <v>364</v>
      </c>
      <c r="I31" s="44">
        <v>107</v>
      </c>
      <c r="J31" s="46">
        <v>112</v>
      </c>
      <c r="K31" s="46">
        <v>116</v>
      </c>
      <c r="L31" s="46">
        <v>121</v>
      </c>
      <c r="M31" s="46">
        <v>255</v>
      </c>
      <c r="N31" s="44">
        <v>383</v>
      </c>
      <c r="O31" s="44">
        <v>474</v>
      </c>
      <c r="P31" s="46">
        <v>589</v>
      </c>
      <c r="Q31" s="46">
        <v>589</v>
      </c>
      <c r="R31" s="44">
        <v>30</v>
      </c>
      <c r="S31" s="44">
        <v>65</v>
      </c>
    </row>
    <row r="32" spans="1:19" ht="15.75" customHeight="1">
      <c r="A32" s="10"/>
      <c r="B32" s="10" t="s">
        <v>28</v>
      </c>
      <c r="C32" s="10" t="s">
        <v>68</v>
      </c>
      <c r="D32" s="10" t="s">
        <v>30</v>
      </c>
      <c r="E32" s="10"/>
      <c r="F32" s="10"/>
      <c r="G32" s="10"/>
      <c r="H32" s="10" t="s">
        <v>365</v>
      </c>
      <c r="I32" s="44">
        <v>71</v>
      </c>
      <c r="J32" s="44">
        <v>76</v>
      </c>
      <c r="K32" s="44">
        <v>80</v>
      </c>
      <c r="L32" s="44">
        <v>85</v>
      </c>
      <c r="M32" s="44">
        <v>195</v>
      </c>
      <c r="N32" s="44">
        <v>265</v>
      </c>
      <c r="O32" s="44">
        <v>324</v>
      </c>
      <c r="P32" s="44">
        <v>354</v>
      </c>
      <c r="Q32" s="46">
        <v>354</v>
      </c>
      <c r="R32" s="44">
        <v>12</v>
      </c>
      <c r="S32" s="44">
        <v>47</v>
      </c>
    </row>
    <row r="33" spans="1:19" ht="15.75" customHeight="1">
      <c r="A33" s="10"/>
      <c r="B33" s="10" t="s">
        <v>28</v>
      </c>
      <c r="C33" s="10" t="s">
        <v>68</v>
      </c>
      <c r="D33" s="10" t="s">
        <v>36</v>
      </c>
      <c r="E33" s="10"/>
      <c r="F33" s="10"/>
      <c r="G33" s="10"/>
      <c r="H33" s="10" t="s">
        <v>366</v>
      </c>
      <c r="I33" s="44">
        <v>107</v>
      </c>
      <c r="J33" s="46">
        <v>112</v>
      </c>
      <c r="K33" s="46">
        <v>116</v>
      </c>
      <c r="L33" s="46">
        <v>121</v>
      </c>
      <c r="M33" s="46">
        <v>255</v>
      </c>
      <c r="N33" s="44">
        <v>353</v>
      </c>
      <c r="O33" s="44">
        <v>150</v>
      </c>
      <c r="P33" s="46">
        <v>560</v>
      </c>
      <c r="Q33" s="46">
        <v>560</v>
      </c>
      <c r="R33" s="44">
        <v>30</v>
      </c>
      <c r="S33" s="44">
        <v>65</v>
      </c>
    </row>
    <row r="34" spans="1:19" ht="15.75" customHeight="1">
      <c r="A34" s="10"/>
      <c r="B34" s="10"/>
      <c r="C34" s="10"/>
      <c r="D34" s="10"/>
      <c r="E34" s="10"/>
      <c r="F34" s="10"/>
      <c r="G34" s="10"/>
      <c r="H34" s="10"/>
      <c r="I34" s="3"/>
      <c r="J34" s="3"/>
      <c r="K34" s="3"/>
      <c r="L34" s="3"/>
      <c r="M34" s="3"/>
      <c r="N34" s="3"/>
      <c r="O34" s="3"/>
      <c r="P34" s="3"/>
      <c r="Q34" s="3"/>
      <c r="R34" s="3"/>
      <c r="S34" s="3"/>
    </row>
    <row r="35" spans="1:19" ht="15.75" customHeight="1">
      <c r="A35" s="10"/>
      <c r="B35" s="10" t="s">
        <v>28</v>
      </c>
      <c r="C35" s="10" t="s">
        <v>367</v>
      </c>
      <c r="D35" s="10" t="s">
        <v>30</v>
      </c>
      <c r="E35" s="10"/>
      <c r="F35" s="10"/>
      <c r="G35" s="10"/>
      <c r="H35" s="10" t="s">
        <v>368</v>
      </c>
      <c r="I35" s="44">
        <v>77</v>
      </c>
      <c r="J35" s="44">
        <v>83</v>
      </c>
      <c r="K35" s="44">
        <v>101</v>
      </c>
      <c r="L35" s="44">
        <v>112</v>
      </c>
      <c r="M35" s="44">
        <v>300</v>
      </c>
      <c r="N35" s="44">
        <v>207</v>
      </c>
      <c r="O35" s="44">
        <v>412</v>
      </c>
      <c r="P35" s="44">
        <v>471</v>
      </c>
      <c r="Q35" s="44">
        <v>471</v>
      </c>
      <c r="R35" s="44">
        <v>12</v>
      </c>
      <c r="S35" s="44">
        <v>47</v>
      </c>
    </row>
    <row r="36" spans="1:19" ht="15.75" customHeight="1">
      <c r="A36" s="10"/>
      <c r="B36" s="10" t="s">
        <v>28</v>
      </c>
      <c r="C36" s="10" t="s">
        <v>76</v>
      </c>
      <c r="D36" s="10" t="s">
        <v>30</v>
      </c>
      <c r="E36" s="10"/>
      <c r="F36" s="10"/>
      <c r="G36" s="10"/>
      <c r="H36" s="10" t="s">
        <v>369</v>
      </c>
      <c r="I36" s="44">
        <v>77</v>
      </c>
      <c r="J36" s="44">
        <v>83</v>
      </c>
      <c r="K36" s="44">
        <v>101</v>
      </c>
      <c r="L36" s="44">
        <v>112</v>
      </c>
      <c r="M36" s="44">
        <v>265</v>
      </c>
      <c r="N36" s="44">
        <v>354</v>
      </c>
      <c r="O36" s="44">
        <v>412</v>
      </c>
      <c r="P36" s="44">
        <v>471</v>
      </c>
      <c r="Q36" s="46">
        <v>471</v>
      </c>
      <c r="R36" s="44">
        <v>12</v>
      </c>
      <c r="S36" s="44">
        <v>47</v>
      </c>
    </row>
    <row r="37" spans="1:19" ht="15.75" customHeight="1">
      <c r="A37" s="10"/>
      <c r="B37" s="10" t="s">
        <v>28</v>
      </c>
      <c r="C37" s="10" t="s">
        <v>76</v>
      </c>
      <c r="D37" s="10" t="s">
        <v>36</v>
      </c>
      <c r="E37" s="10"/>
      <c r="F37" s="10"/>
      <c r="G37" s="10"/>
      <c r="H37" s="10" t="s">
        <v>370</v>
      </c>
      <c r="I37" s="44">
        <v>113</v>
      </c>
      <c r="J37" s="46">
        <v>119</v>
      </c>
      <c r="K37" s="46">
        <v>137</v>
      </c>
      <c r="L37" s="46">
        <v>148</v>
      </c>
      <c r="M37" s="46">
        <v>325</v>
      </c>
      <c r="N37" s="44">
        <v>442</v>
      </c>
      <c r="O37" s="44">
        <v>709</v>
      </c>
      <c r="P37" s="46">
        <v>677</v>
      </c>
      <c r="Q37" s="46">
        <v>677</v>
      </c>
      <c r="R37" s="44">
        <v>30</v>
      </c>
      <c r="S37" s="44">
        <v>65</v>
      </c>
    </row>
    <row r="38" spans="1:19" ht="15.75" customHeight="1">
      <c r="A38" s="10"/>
      <c r="B38" s="10" t="s">
        <v>28</v>
      </c>
      <c r="C38" s="10" t="s">
        <v>78</v>
      </c>
      <c r="D38" s="10" t="s">
        <v>30</v>
      </c>
      <c r="E38" s="10"/>
      <c r="F38" s="10"/>
      <c r="G38" s="10"/>
      <c r="H38" s="10" t="s">
        <v>371</v>
      </c>
      <c r="I38" s="44">
        <v>77</v>
      </c>
      <c r="J38" s="44">
        <v>83</v>
      </c>
      <c r="K38" s="44">
        <v>101</v>
      </c>
      <c r="L38" s="44">
        <v>112</v>
      </c>
      <c r="M38" s="44">
        <v>265</v>
      </c>
      <c r="N38" s="44">
        <v>354</v>
      </c>
      <c r="O38" s="44">
        <v>412</v>
      </c>
      <c r="P38" s="44">
        <v>471</v>
      </c>
      <c r="Q38" s="44">
        <v>471</v>
      </c>
      <c r="R38" s="44">
        <v>12</v>
      </c>
      <c r="S38" s="44">
        <v>47</v>
      </c>
    </row>
    <row r="39" spans="1:19" ht="15.75" customHeight="1">
      <c r="A39" s="10"/>
      <c r="B39" s="10" t="s">
        <v>28</v>
      </c>
      <c r="C39" s="10" t="s">
        <v>78</v>
      </c>
      <c r="D39" s="10" t="s">
        <v>36</v>
      </c>
      <c r="E39" s="10"/>
      <c r="F39" s="10"/>
      <c r="G39" s="10"/>
      <c r="H39" s="10" t="s">
        <v>372</v>
      </c>
      <c r="I39" s="44">
        <v>113</v>
      </c>
      <c r="J39" s="46">
        <v>119</v>
      </c>
      <c r="K39" s="46">
        <v>137</v>
      </c>
      <c r="L39" s="46">
        <v>148</v>
      </c>
      <c r="M39" s="46">
        <v>325</v>
      </c>
      <c r="N39" s="44">
        <v>442</v>
      </c>
      <c r="O39" s="44">
        <v>709</v>
      </c>
      <c r="P39" s="46">
        <v>677</v>
      </c>
      <c r="Q39" s="46">
        <v>677</v>
      </c>
      <c r="R39" s="44">
        <v>30</v>
      </c>
      <c r="S39" s="44">
        <v>65</v>
      </c>
    </row>
    <row r="40" spans="1:19" ht="15.75" customHeight="1">
      <c r="A40" s="10"/>
      <c r="B40" s="10" t="s">
        <v>28</v>
      </c>
      <c r="C40" s="10" t="s">
        <v>81</v>
      </c>
      <c r="D40" s="10" t="s">
        <v>30</v>
      </c>
      <c r="E40" s="10"/>
      <c r="F40" s="10"/>
      <c r="G40" s="10"/>
      <c r="H40" s="10" t="s">
        <v>373</v>
      </c>
      <c r="I40" s="44">
        <v>77</v>
      </c>
      <c r="J40" s="44">
        <v>83</v>
      </c>
      <c r="K40" s="44">
        <v>101</v>
      </c>
      <c r="L40" s="44">
        <v>112</v>
      </c>
      <c r="M40" s="44">
        <v>295</v>
      </c>
      <c r="N40" s="44">
        <v>383</v>
      </c>
      <c r="O40" s="44">
        <v>442</v>
      </c>
      <c r="P40" s="44">
        <v>500</v>
      </c>
      <c r="Q40" s="46">
        <v>500</v>
      </c>
      <c r="R40" s="44">
        <v>12</v>
      </c>
      <c r="S40" s="44">
        <v>47</v>
      </c>
    </row>
    <row r="41" spans="1:19" ht="15.75" customHeight="1">
      <c r="A41" s="10"/>
      <c r="B41" s="10" t="s">
        <v>28</v>
      </c>
      <c r="C41" s="10" t="s">
        <v>81</v>
      </c>
      <c r="D41" s="10" t="s">
        <v>36</v>
      </c>
      <c r="E41" s="10"/>
      <c r="F41" s="10"/>
      <c r="G41" s="10"/>
      <c r="H41" s="10" t="s">
        <v>374</v>
      </c>
      <c r="I41" s="44">
        <v>113</v>
      </c>
      <c r="J41" s="46">
        <v>119</v>
      </c>
      <c r="K41" s="46">
        <v>137</v>
      </c>
      <c r="L41" s="46">
        <v>148</v>
      </c>
      <c r="M41" s="46">
        <v>355</v>
      </c>
      <c r="N41" s="44">
        <v>471</v>
      </c>
      <c r="O41" s="44">
        <v>768</v>
      </c>
      <c r="P41" s="46">
        <v>706</v>
      </c>
      <c r="Q41" s="46">
        <v>706</v>
      </c>
      <c r="R41" s="44">
        <v>30</v>
      </c>
      <c r="S41" s="44">
        <v>65</v>
      </c>
    </row>
    <row r="42" spans="1:19" ht="15.75" customHeight="1">
      <c r="A42" s="10"/>
      <c r="B42" s="10" t="s">
        <v>28</v>
      </c>
      <c r="C42" s="10" t="s">
        <v>84</v>
      </c>
      <c r="D42" s="10" t="s">
        <v>30</v>
      </c>
      <c r="E42" s="10"/>
      <c r="F42" s="10"/>
      <c r="G42" s="10"/>
      <c r="H42" s="10" t="s">
        <v>375</v>
      </c>
      <c r="I42" s="44">
        <v>77</v>
      </c>
      <c r="J42" s="44">
        <v>83</v>
      </c>
      <c r="K42" s="44">
        <v>101</v>
      </c>
      <c r="L42" s="44">
        <v>112</v>
      </c>
      <c r="M42" s="44">
        <v>295</v>
      </c>
      <c r="N42" s="44">
        <v>383</v>
      </c>
      <c r="O42" s="44">
        <v>442</v>
      </c>
      <c r="P42" s="44">
        <v>500</v>
      </c>
      <c r="Q42" s="46">
        <v>500</v>
      </c>
      <c r="R42" s="44">
        <v>12</v>
      </c>
      <c r="S42" s="44">
        <v>47</v>
      </c>
    </row>
    <row r="43" spans="1:19" ht="15.75" customHeight="1">
      <c r="A43" s="10"/>
      <c r="B43" s="10" t="s">
        <v>28</v>
      </c>
      <c r="C43" s="10" t="s">
        <v>84</v>
      </c>
      <c r="D43" s="10" t="s">
        <v>36</v>
      </c>
      <c r="E43" s="10"/>
      <c r="F43" s="10"/>
      <c r="G43" s="10"/>
      <c r="H43" s="10" t="s">
        <v>376</v>
      </c>
      <c r="I43" s="44">
        <v>113</v>
      </c>
      <c r="J43" s="46">
        <v>119</v>
      </c>
      <c r="K43" s="46">
        <v>137</v>
      </c>
      <c r="L43" s="46">
        <v>148</v>
      </c>
      <c r="M43" s="46">
        <v>355</v>
      </c>
      <c r="N43" s="44">
        <v>471</v>
      </c>
      <c r="O43" s="44">
        <v>768</v>
      </c>
      <c r="P43" s="46">
        <v>706</v>
      </c>
      <c r="Q43" s="46">
        <v>706</v>
      </c>
      <c r="R43" s="44">
        <v>30</v>
      </c>
      <c r="S43" s="44">
        <v>65</v>
      </c>
    </row>
    <row r="44" spans="1:19" ht="15.75" customHeight="1">
      <c r="A44" s="10"/>
      <c r="B44" s="10"/>
      <c r="C44" s="10"/>
      <c r="D44" s="10"/>
      <c r="E44" s="10"/>
      <c r="F44" s="10"/>
      <c r="G44" s="10"/>
      <c r="H44" s="10"/>
      <c r="I44" s="3"/>
      <c r="J44" s="3"/>
      <c r="K44" s="3"/>
      <c r="L44" s="3"/>
      <c r="M44" s="3"/>
      <c r="N44" s="3"/>
      <c r="O44" s="3"/>
      <c r="P44" s="3"/>
      <c r="Q44" s="3"/>
      <c r="R44" s="3"/>
      <c r="S44" s="3"/>
    </row>
    <row r="45" spans="1:19" ht="15.75" customHeight="1">
      <c r="A45" s="10"/>
      <c r="B45" s="10" t="s">
        <v>50</v>
      </c>
      <c r="C45" s="10" t="s">
        <v>53</v>
      </c>
      <c r="D45" s="10" t="s">
        <v>30</v>
      </c>
      <c r="E45" s="10"/>
      <c r="F45" s="10"/>
      <c r="G45" s="10"/>
      <c r="H45" s="10" t="s">
        <v>377</v>
      </c>
      <c r="I45" s="44">
        <v>30</v>
      </c>
      <c r="J45" s="44">
        <v>36</v>
      </c>
      <c r="K45" s="44">
        <v>47</v>
      </c>
      <c r="L45" s="44">
        <v>59</v>
      </c>
      <c r="M45" s="44">
        <v>100</v>
      </c>
      <c r="N45" s="44">
        <v>120</v>
      </c>
      <c r="O45" s="44">
        <v>120</v>
      </c>
      <c r="P45" s="44">
        <v>200</v>
      </c>
      <c r="Q45" s="44">
        <v>200</v>
      </c>
      <c r="R45" s="44">
        <v>12</v>
      </c>
      <c r="S45" s="44">
        <v>47</v>
      </c>
    </row>
    <row r="46" spans="1:19" ht="15.75" customHeight="1">
      <c r="A46" s="10"/>
      <c r="B46" s="10" t="s">
        <v>50</v>
      </c>
      <c r="C46" s="10" t="s">
        <v>76</v>
      </c>
      <c r="D46" s="10" t="s">
        <v>30</v>
      </c>
      <c r="E46" s="10"/>
      <c r="F46" s="10"/>
      <c r="G46" s="10"/>
      <c r="H46" s="10" t="s">
        <v>378</v>
      </c>
      <c r="I46" s="44">
        <v>30</v>
      </c>
      <c r="J46" s="44">
        <v>36</v>
      </c>
      <c r="K46" s="44">
        <v>47</v>
      </c>
      <c r="L46" s="44">
        <v>59</v>
      </c>
      <c r="M46" s="44">
        <v>100</v>
      </c>
      <c r="N46" s="44">
        <v>120</v>
      </c>
      <c r="O46" s="44">
        <v>147</v>
      </c>
      <c r="P46" s="44">
        <v>177</v>
      </c>
      <c r="Q46" s="44">
        <v>177</v>
      </c>
      <c r="R46" s="44">
        <v>12</v>
      </c>
      <c r="S46" s="44">
        <v>47</v>
      </c>
    </row>
    <row r="47" spans="1:19" ht="15.75" customHeight="1">
      <c r="A47" s="10"/>
      <c r="B47" s="10" t="s">
        <v>28</v>
      </c>
      <c r="C47" s="10" t="s">
        <v>379</v>
      </c>
      <c r="D47" s="10" t="s">
        <v>30</v>
      </c>
      <c r="E47" s="10"/>
      <c r="F47" s="10"/>
      <c r="G47" s="10"/>
      <c r="H47" s="10" t="s">
        <v>380</v>
      </c>
      <c r="I47" s="44">
        <v>30</v>
      </c>
      <c r="J47" s="44">
        <v>36</v>
      </c>
      <c r="K47" s="44">
        <v>47</v>
      </c>
      <c r="L47" s="44">
        <v>59</v>
      </c>
      <c r="M47" s="44">
        <v>165</v>
      </c>
      <c r="N47" s="44">
        <v>236</v>
      </c>
      <c r="O47" s="44">
        <v>295</v>
      </c>
      <c r="P47" s="44">
        <v>354</v>
      </c>
      <c r="Q47" s="44">
        <v>354</v>
      </c>
      <c r="R47" s="44">
        <v>12</v>
      </c>
      <c r="S47" s="44">
        <v>47</v>
      </c>
    </row>
    <row r="48" spans="1:19" ht="15.75" customHeight="1">
      <c r="A48" s="10"/>
      <c r="B48" s="10" t="s">
        <v>28</v>
      </c>
      <c r="C48" s="10" t="s">
        <v>91</v>
      </c>
      <c r="D48" s="10" t="s">
        <v>30</v>
      </c>
      <c r="E48" s="10"/>
      <c r="F48" s="10"/>
      <c r="G48" s="10"/>
      <c r="H48" s="10" t="s">
        <v>381</v>
      </c>
      <c r="I48" s="44">
        <v>65</v>
      </c>
      <c r="J48" s="44">
        <v>71</v>
      </c>
      <c r="K48" s="44">
        <v>112</v>
      </c>
      <c r="L48" s="44">
        <v>124</v>
      </c>
      <c r="M48" s="44">
        <v>324</v>
      </c>
      <c r="N48" s="44">
        <v>412</v>
      </c>
      <c r="O48" s="44">
        <v>471</v>
      </c>
      <c r="P48" s="44">
        <v>530</v>
      </c>
      <c r="Q48" s="44">
        <v>530</v>
      </c>
      <c r="R48" s="44">
        <v>12</v>
      </c>
      <c r="S48" s="44">
        <v>47</v>
      </c>
    </row>
    <row r="49" spans="1:19" ht="15.75" customHeight="1">
      <c r="A49" s="10"/>
      <c r="B49" s="10" t="s">
        <v>28</v>
      </c>
      <c r="C49" s="10" t="s">
        <v>94</v>
      </c>
      <c r="D49" s="10" t="s">
        <v>30</v>
      </c>
      <c r="E49" s="10"/>
      <c r="F49" s="10"/>
      <c r="G49" s="10"/>
      <c r="H49" s="10" t="s">
        <v>382</v>
      </c>
      <c r="I49" s="44">
        <v>89</v>
      </c>
      <c r="J49" s="44">
        <v>95</v>
      </c>
      <c r="K49" s="44">
        <v>112</v>
      </c>
      <c r="L49" s="44">
        <v>124</v>
      </c>
      <c r="M49" s="44">
        <v>324</v>
      </c>
      <c r="N49" s="44">
        <v>412</v>
      </c>
      <c r="O49" s="44">
        <v>471</v>
      </c>
      <c r="P49" s="44">
        <v>530</v>
      </c>
      <c r="Q49" s="44">
        <v>530</v>
      </c>
      <c r="R49" s="44">
        <v>12</v>
      </c>
      <c r="S49" s="44">
        <v>47</v>
      </c>
    </row>
    <row r="50" spans="1:19" ht="15.75" customHeight="1">
      <c r="A50" s="10"/>
      <c r="B50" s="10" t="s">
        <v>50</v>
      </c>
      <c r="C50" s="10" t="s">
        <v>97</v>
      </c>
      <c r="D50" s="10" t="s">
        <v>30</v>
      </c>
      <c r="E50" s="10"/>
      <c r="F50" s="10"/>
      <c r="G50" s="10"/>
      <c r="H50" s="10" t="s">
        <v>383</v>
      </c>
      <c r="I50" s="44">
        <v>71</v>
      </c>
      <c r="J50" s="44">
        <v>77</v>
      </c>
      <c r="K50" s="44">
        <v>89</v>
      </c>
      <c r="L50" s="44">
        <v>101</v>
      </c>
      <c r="M50" s="44">
        <v>147</v>
      </c>
      <c r="N50" s="44">
        <v>165</v>
      </c>
      <c r="O50" s="44">
        <v>177</v>
      </c>
      <c r="P50" s="44">
        <v>206</v>
      </c>
      <c r="Q50" s="44">
        <v>206</v>
      </c>
      <c r="R50" s="44">
        <v>12</v>
      </c>
      <c r="S50" s="44">
        <v>47</v>
      </c>
    </row>
    <row r="51" spans="1:19" ht="15.75" customHeight="1">
      <c r="A51" s="10"/>
      <c r="B51" s="10" t="s">
        <v>76</v>
      </c>
      <c r="C51" s="10" t="s">
        <v>78</v>
      </c>
      <c r="D51" s="10" t="s">
        <v>30</v>
      </c>
      <c r="E51" s="10"/>
      <c r="F51" s="10"/>
      <c r="G51" s="10"/>
      <c r="H51" s="10" t="s">
        <v>384</v>
      </c>
      <c r="I51" s="44">
        <v>59</v>
      </c>
      <c r="J51" s="44">
        <v>65</v>
      </c>
      <c r="K51" s="44">
        <v>71</v>
      </c>
      <c r="L51" s="44">
        <v>83</v>
      </c>
      <c r="M51" s="44">
        <v>118</v>
      </c>
      <c r="N51" s="44">
        <v>130</v>
      </c>
      <c r="O51" s="44">
        <v>147</v>
      </c>
      <c r="P51" s="44">
        <v>177</v>
      </c>
      <c r="Q51" s="44">
        <v>177</v>
      </c>
      <c r="R51" s="44">
        <v>12</v>
      </c>
      <c r="S51" s="44">
        <v>47</v>
      </c>
    </row>
    <row r="52" spans="1:19" ht="15.75" customHeight="1">
      <c r="A52" s="10"/>
      <c r="B52" s="10" t="s">
        <v>76</v>
      </c>
      <c r="C52" s="10" t="s">
        <v>94</v>
      </c>
      <c r="D52" s="10" t="s">
        <v>30</v>
      </c>
      <c r="E52" s="10"/>
      <c r="F52" s="10"/>
      <c r="G52" s="10"/>
      <c r="H52" s="10" t="s">
        <v>385</v>
      </c>
      <c r="I52" s="44">
        <v>36</v>
      </c>
      <c r="J52" s="44">
        <v>44</v>
      </c>
      <c r="K52" s="44">
        <v>71</v>
      </c>
      <c r="L52" s="44">
        <v>83</v>
      </c>
      <c r="M52" s="44">
        <v>100</v>
      </c>
      <c r="N52" s="44">
        <v>147</v>
      </c>
      <c r="O52" s="44">
        <v>177</v>
      </c>
      <c r="P52" s="44">
        <v>177</v>
      </c>
      <c r="Q52" s="44">
        <v>177</v>
      </c>
      <c r="R52" s="44">
        <v>12</v>
      </c>
      <c r="S52" s="44">
        <v>47</v>
      </c>
    </row>
    <row r="53" spans="1:19" ht="15.75" customHeight="1">
      <c r="A53" s="10"/>
      <c r="B53" s="10"/>
      <c r="C53" s="10"/>
      <c r="D53" s="10"/>
      <c r="E53" s="10"/>
      <c r="F53" s="10"/>
      <c r="G53" s="10"/>
      <c r="H53" s="10"/>
      <c r="I53" s="3"/>
      <c r="J53" s="3"/>
      <c r="K53" s="3"/>
      <c r="L53" s="3"/>
      <c r="M53" s="3"/>
      <c r="N53" s="3"/>
      <c r="O53" s="3"/>
      <c r="P53" s="3"/>
      <c r="Q53" s="3"/>
      <c r="R53" s="3"/>
      <c r="S53" s="3"/>
    </row>
    <row r="54" spans="1:19" ht="15.75" customHeight="1">
      <c r="A54" s="10"/>
      <c r="B54" s="10" t="s">
        <v>22</v>
      </c>
      <c r="C54" s="10" t="s">
        <v>100</v>
      </c>
      <c r="D54" s="72" t="s">
        <v>339</v>
      </c>
      <c r="E54" s="73"/>
      <c r="F54" s="10"/>
      <c r="G54" s="10"/>
      <c r="H54" s="10" t="s">
        <v>481</v>
      </c>
      <c r="I54" s="44">
        <v>41</v>
      </c>
      <c r="J54" s="44">
        <v>47</v>
      </c>
      <c r="K54" s="44">
        <v>47</v>
      </c>
      <c r="L54" s="44">
        <v>59</v>
      </c>
      <c r="M54" s="44">
        <v>130</v>
      </c>
      <c r="N54" s="44">
        <v>147</v>
      </c>
      <c r="O54" s="44">
        <v>177</v>
      </c>
      <c r="P54" s="44">
        <v>206</v>
      </c>
      <c r="Q54" s="44">
        <v>206</v>
      </c>
      <c r="R54" s="44">
        <v>12</v>
      </c>
      <c r="S54" s="44">
        <v>47</v>
      </c>
    </row>
    <row r="55" spans="1:19" ht="15.75" customHeight="1">
      <c r="A55" s="10"/>
      <c r="B55" s="10" t="s">
        <v>22</v>
      </c>
      <c r="C55" s="10" t="s">
        <v>103</v>
      </c>
      <c r="D55" s="72" t="s">
        <v>339</v>
      </c>
      <c r="E55" s="73"/>
      <c r="F55" s="10"/>
      <c r="G55" s="10"/>
      <c r="H55" s="10" t="s">
        <v>482</v>
      </c>
      <c r="I55" s="44">
        <v>41</v>
      </c>
      <c r="J55" s="44">
        <v>47</v>
      </c>
      <c r="K55" s="44">
        <v>47</v>
      </c>
      <c r="L55" s="44">
        <v>59</v>
      </c>
      <c r="M55" s="44">
        <v>130</v>
      </c>
      <c r="N55" s="44">
        <v>147</v>
      </c>
      <c r="O55" s="44">
        <v>177</v>
      </c>
      <c r="P55" s="44">
        <v>206</v>
      </c>
      <c r="Q55" s="44">
        <v>206</v>
      </c>
      <c r="R55" s="44">
        <v>12</v>
      </c>
      <c r="S55" s="44">
        <v>47</v>
      </c>
    </row>
    <row r="56" spans="1:19" ht="15.75" customHeight="1">
      <c r="A56" s="10"/>
      <c r="B56" s="10" t="s">
        <v>22</v>
      </c>
      <c r="C56" s="10" t="s">
        <v>105</v>
      </c>
      <c r="D56" s="72" t="s">
        <v>339</v>
      </c>
      <c r="E56" s="73"/>
      <c r="F56" s="10"/>
      <c r="G56" s="10"/>
      <c r="H56" s="10" t="s">
        <v>483</v>
      </c>
      <c r="I56" s="44">
        <v>41</v>
      </c>
      <c r="J56" s="44">
        <v>47</v>
      </c>
      <c r="K56" s="44">
        <v>47</v>
      </c>
      <c r="L56" s="44">
        <v>59</v>
      </c>
      <c r="M56" s="44">
        <v>130</v>
      </c>
      <c r="N56" s="44">
        <v>147</v>
      </c>
      <c r="O56" s="44">
        <v>177</v>
      </c>
      <c r="P56" s="44">
        <v>206</v>
      </c>
      <c r="Q56" s="44">
        <v>206</v>
      </c>
      <c r="R56" s="44">
        <v>12</v>
      </c>
      <c r="S56" s="44">
        <v>47</v>
      </c>
    </row>
    <row r="57" spans="1:19" ht="15.75" customHeight="1">
      <c r="A57" s="10"/>
      <c r="B57" s="10" t="s">
        <v>22</v>
      </c>
      <c r="C57" s="10" t="s">
        <v>107</v>
      </c>
      <c r="D57" s="72" t="s">
        <v>339</v>
      </c>
      <c r="E57" s="73"/>
      <c r="F57" s="10"/>
      <c r="G57" s="10"/>
      <c r="H57" s="10" t="s">
        <v>484</v>
      </c>
      <c r="I57" s="44">
        <v>41</v>
      </c>
      <c r="J57" s="44">
        <v>47</v>
      </c>
      <c r="K57" s="44">
        <v>47</v>
      </c>
      <c r="L57" s="44">
        <v>59</v>
      </c>
      <c r="M57" s="44">
        <v>130</v>
      </c>
      <c r="N57" s="44">
        <v>147</v>
      </c>
      <c r="O57" s="44">
        <v>177</v>
      </c>
      <c r="P57" s="44">
        <v>206</v>
      </c>
      <c r="Q57" s="44">
        <v>206</v>
      </c>
      <c r="R57" s="44">
        <v>12</v>
      </c>
      <c r="S57" s="44">
        <v>47</v>
      </c>
    </row>
    <row r="58" spans="1:19" ht="15.75" customHeight="1">
      <c r="A58" s="10"/>
      <c r="B58" s="10" t="s">
        <v>22</v>
      </c>
      <c r="C58" s="10" t="s">
        <v>109</v>
      </c>
      <c r="D58" s="72" t="s">
        <v>339</v>
      </c>
      <c r="E58" s="73"/>
      <c r="F58" s="10"/>
      <c r="G58" s="10"/>
      <c r="H58" s="10" t="s">
        <v>485</v>
      </c>
      <c r="I58" s="44">
        <v>41</v>
      </c>
      <c r="J58" s="44">
        <v>47</v>
      </c>
      <c r="K58" s="44">
        <v>47</v>
      </c>
      <c r="L58" s="44">
        <v>59</v>
      </c>
      <c r="M58" s="44">
        <v>130</v>
      </c>
      <c r="N58" s="44">
        <v>147</v>
      </c>
      <c r="O58" s="44">
        <v>177</v>
      </c>
      <c r="P58" s="44">
        <v>206</v>
      </c>
      <c r="Q58" s="44">
        <v>206</v>
      </c>
      <c r="R58" s="44">
        <v>12</v>
      </c>
      <c r="S58" s="44">
        <v>47</v>
      </c>
    </row>
    <row r="59" spans="1:19" ht="15.75" customHeight="1">
      <c r="A59" s="10"/>
      <c r="B59" s="10" t="s">
        <v>22</v>
      </c>
      <c r="C59" s="10" t="s">
        <v>111</v>
      </c>
      <c r="D59" s="72" t="s">
        <v>339</v>
      </c>
      <c r="E59" s="73"/>
      <c r="F59" s="10"/>
      <c r="G59" s="10"/>
      <c r="H59" s="10" t="s">
        <v>486</v>
      </c>
      <c r="I59" s="44">
        <v>36</v>
      </c>
      <c r="J59" s="44">
        <v>41</v>
      </c>
      <c r="K59" s="44">
        <v>47</v>
      </c>
      <c r="L59" s="44">
        <v>59</v>
      </c>
      <c r="M59" s="44">
        <v>189</v>
      </c>
      <c r="N59" s="44">
        <v>147</v>
      </c>
      <c r="O59" s="44">
        <v>177</v>
      </c>
      <c r="P59" s="44">
        <v>206</v>
      </c>
      <c r="Q59" s="44">
        <v>206</v>
      </c>
      <c r="R59" s="44">
        <v>12</v>
      </c>
      <c r="S59" s="44">
        <v>47</v>
      </c>
    </row>
    <row r="60" spans="1:19" ht="15.75" customHeight="1">
      <c r="A60" s="10"/>
      <c r="B60" s="10" t="s">
        <v>22</v>
      </c>
      <c r="C60" s="10" t="s">
        <v>113</v>
      </c>
      <c r="D60" s="72" t="s">
        <v>339</v>
      </c>
      <c r="E60" s="73"/>
      <c r="F60" s="10"/>
      <c r="G60" s="10"/>
      <c r="H60" s="10" t="s">
        <v>487</v>
      </c>
      <c r="I60" s="44">
        <v>41</v>
      </c>
      <c r="J60" s="44">
        <v>41</v>
      </c>
      <c r="K60" s="44">
        <v>47</v>
      </c>
      <c r="L60" s="44">
        <v>59</v>
      </c>
      <c r="M60" s="44">
        <v>153</v>
      </c>
      <c r="N60" s="44">
        <v>177</v>
      </c>
      <c r="O60" s="44">
        <v>206</v>
      </c>
      <c r="P60" s="44">
        <v>236</v>
      </c>
      <c r="Q60" s="44">
        <v>236</v>
      </c>
      <c r="R60" s="44">
        <v>12</v>
      </c>
      <c r="S60" s="44">
        <v>47</v>
      </c>
    </row>
    <row r="61" spans="1:19" ht="15.75" customHeight="1">
      <c r="A61" s="10"/>
      <c r="B61" s="10" t="s">
        <v>22</v>
      </c>
      <c r="C61" s="10" t="s">
        <v>115</v>
      </c>
      <c r="D61" s="72" t="s">
        <v>339</v>
      </c>
      <c r="E61" s="73"/>
      <c r="F61" s="10"/>
      <c r="G61" s="10"/>
      <c r="H61" s="10" t="s">
        <v>488</v>
      </c>
      <c r="I61" s="44">
        <v>41</v>
      </c>
      <c r="J61" s="44">
        <v>47</v>
      </c>
      <c r="K61" s="44">
        <v>47</v>
      </c>
      <c r="L61" s="44">
        <v>59</v>
      </c>
      <c r="M61" s="44">
        <v>130</v>
      </c>
      <c r="N61" s="44">
        <v>147</v>
      </c>
      <c r="O61" s="44">
        <v>177</v>
      </c>
      <c r="P61" s="44">
        <v>206</v>
      </c>
      <c r="Q61" s="44">
        <v>206</v>
      </c>
      <c r="R61" s="44">
        <v>12</v>
      </c>
      <c r="S61" s="44">
        <v>47</v>
      </c>
    </row>
    <row r="62" spans="1:19" ht="15.75" customHeight="1">
      <c r="A62" s="10"/>
      <c r="B62" s="10" t="s">
        <v>22</v>
      </c>
      <c r="C62" s="10" t="s">
        <v>117</v>
      </c>
      <c r="D62" s="72" t="s">
        <v>339</v>
      </c>
      <c r="E62" s="73"/>
      <c r="F62" s="10"/>
      <c r="G62" s="10"/>
      <c r="H62" s="10" t="s">
        <v>487</v>
      </c>
      <c r="I62" s="44">
        <v>41</v>
      </c>
      <c r="J62" s="44">
        <v>32</v>
      </c>
      <c r="K62" s="44">
        <v>29</v>
      </c>
      <c r="L62" s="44">
        <v>31</v>
      </c>
      <c r="M62" s="44">
        <v>130</v>
      </c>
      <c r="N62" s="44">
        <v>147</v>
      </c>
      <c r="O62" s="44">
        <v>177</v>
      </c>
      <c r="P62" s="44">
        <v>206</v>
      </c>
      <c r="Q62" s="44">
        <v>206</v>
      </c>
      <c r="R62" s="44">
        <v>12</v>
      </c>
      <c r="S62" s="44">
        <v>47</v>
      </c>
    </row>
    <row r="63" spans="1:19" ht="15.75" customHeight="1">
      <c r="A63" s="10"/>
      <c r="B63" s="10" t="s">
        <v>22</v>
      </c>
      <c r="C63" s="10" t="s">
        <v>119</v>
      </c>
      <c r="D63" s="72" t="s">
        <v>339</v>
      </c>
      <c r="E63" s="73"/>
      <c r="F63" s="10"/>
      <c r="G63" s="10"/>
      <c r="H63" s="10" t="s">
        <v>489</v>
      </c>
      <c r="I63" s="44">
        <v>41</v>
      </c>
      <c r="J63" s="44">
        <v>47</v>
      </c>
      <c r="K63" s="44">
        <v>47</v>
      </c>
      <c r="L63" s="44">
        <v>59</v>
      </c>
      <c r="M63" s="44">
        <v>130</v>
      </c>
      <c r="N63" s="44">
        <v>147</v>
      </c>
      <c r="O63" s="44">
        <v>177</v>
      </c>
      <c r="P63" s="44">
        <v>206</v>
      </c>
      <c r="Q63" s="44">
        <v>206</v>
      </c>
      <c r="R63" s="44">
        <v>12</v>
      </c>
      <c r="S63" s="44">
        <v>47</v>
      </c>
    </row>
    <row r="64" spans="1:19" ht="15.75" customHeight="1">
      <c r="A64" s="10"/>
      <c r="B64" s="10" t="s">
        <v>22</v>
      </c>
      <c r="C64" s="10" t="s">
        <v>121</v>
      </c>
      <c r="D64" s="72" t="s">
        <v>339</v>
      </c>
      <c r="E64" s="73"/>
      <c r="F64" s="10"/>
      <c r="G64" s="10"/>
      <c r="H64" s="10" t="s">
        <v>490</v>
      </c>
      <c r="I64" s="44">
        <v>41</v>
      </c>
      <c r="J64" s="44">
        <v>47</v>
      </c>
      <c r="K64" s="44">
        <v>47</v>
      </c>
      <c r="L64" s="44">
        <v>59</v>
      </c>
      <c r="M64" s="44">
        <v>130</v>
      </c>
      <c r="N64" s="44">
        <v>147</v>
      </c>
      <c r="O64" s="44">
        <v>177</v>
      </c>
      <c r="P64" s="44">
        <v>206</v>
      </c>
      <c r="Q64" s="44">
        <v>206</v>
      </c>
      <c r="R64" s="44">
        <v>12</v>
      </c>
      <c r="S64" s="44">
        <v>47</v>
      </c>
    </row>
    <row r="65" spans="1:19" ht="15.75" customHeight="1">
      <c r="A65" s="10"/>
      <c r="B65" s="10" t="s">
        <v>22</v>
      </c>
      <c r="C65" s="10" t="s">
        <v>123</v>
      </c>
      <c r="D65" s="72" t="s">
        <v>339</v>
      </c>
      <c r="E65" s="73"/>
      <c r="F65" s="10"/>
      <c r="G65" s="10"/>
      <c r="H65" s="10" t="s">
        <v>491</v>
      </c>
      <c r="I65" s="44">
        <v>41</v>
      </c>
      <c r="J65" s="44">
        <v>47</v>
      </c>
      <c r="K65" s="44">
        <v>47</v>
      </c>
      <c r="L65" s="44">
        <v>59</v>
      </c>
      <c r="M65" s="44">
        <v>130</v>
      </c>
      <c r="N65" s="44">
        <v>147</v>
      </c>
      <c r="O65" s="44">
        <v>177</v>
      </c>
      <c r="P65" s="44">
        <v>206</v>
      </c>
      <c r="Q65" s="44">
        <v>206</v>
      </c>
      <c r="R65" s="44">
        <v>12</v>
      </c>
      <c r="S65" s="44">
        <v>47</v>
      </c>
    </row>
    <row r="66" spans="1:19" ht="15.75" customHeight="1">
      <c r="A66" s="10"/>
      <c r="B66" s="10" t="s">
        <v>22</v>
      </c>
      <c r="C66" s="10" t="s">
        <v>125</v>
      </c>
      <c r="D66" s="72" t="s">
        <v>339</v>
      </c>
      <c r="E66" s="73"/>
      <c r="F66" s="10"/>
      <c r="G66" s="10"/>
      <c r="H66" s="10" t="s">
        <v>487</v>
      </c>
      <c r="I66" s="44">
        <v>41</v>
      </c>
      <c r="J66" s="44">
        <v>47</v>
      </c>
      <c r="K66" s="44">
        <v>47</v>
      </c>
      <c r="L66" s="44">
        <v>59</v>
      </c>
      <c r="M66" s="44">
        <v>130</v>
      </c>
      <c r="N66" s="44">
        <v>147</v>
      </c>
      <c r="O66" s="44">
        <v>177</v>
      </c>
      <c r="P66" s="44">
        <v>206</v>
      </c>
      <c r="Q66" s="44">
        <v>206</v>
      </c>
      <c r="R66" s="44">
        <v>12</v>
      </c>
      <c r="S66" s="44">
        <v>47</v>
      </c>
    </row>
    <row r="67" spans="1:19" ht="15.75" customHeight="1">
      <c r="A67" s="10"/>
      <c r="B67" s="10" t="s">
        <v>22</v>
      </c>
      <c r="C67" s="10" t="s">
        <v>127</v>
      </c>
      <c r="D67" s="72" t="s">
        <v>339</v>
      </c>
      <c r="E67" s="73"/>
      <c r="F67" s="10"/>
      <c r="G67" s="10"/>
      <c r="H67" s="10" t="s">
        <v>492</v>
      </c>
      <c r="I67" s="44">
        <v>41</v>
      </c>
      <c r="J67" s="44">
        <v>47</v>
      </c>
      <c r="K67" s="44">
        <v>47</v>
      </c>
      <c r="L67" s="44">
        <v>59</v>
      </c>
      <c r="M67" s="44">
        <v>118</v>
      </c>
      <c r="N67" s="44">
        <v>147</v>
      </c>
      <c r="O67" s="44">
        <v>177</v>
      </c>
      <c r="P67" s="44">
        <v>206</v>
      </c>
      <c r="Q67" s="44">
        <v>206</v>
      </c>
      <c r="R67" s="44">
        <v>12</v>
      </c>
      <c r="S67" s="44">
        <v>47</v>
      </c>
    </row>
    <row r="68" spans="1:19" ht="15.75" customHeight="1">
      <c r="A68" s="10"/>
      <c r="B68" s="10" t="s">
        <v>22</v>
      </c>
      <c r="C68" s="10" t="s">
        <v>129</v>
      </c>
      <c r="D68" s="72" t="s">
        <v>339</v>
      </c>
      <c r="E68" s="73"/>
      <c r="F68" s="10"/>
      <c r="G68" s="10"/>
      <c r="H68" s="10" t="s">
        <v>493</v>
      </c>
      <c r="I68" s="44">
        <v>41</v>
      </c>
      <c r="J68" s="44">
        <v>47</v>
      </c>
      <c r="K68" s="44">
        <v>47</v>
      </c>
      <c r="L68" s="44">
        <v>59</v>
      </c>
      <c r="M68" s="44">
        <v>118</v>
      </c>
      <c r="N68" s="44">
        <v>147</v>
      </c>
      <c r="O68" s="44">
        <v>177</v>
      </c>
      <c r="P68" s="44">
        <v>206</v>
      </c>
      <c r="Q68" s="44">
        <v>206</v>
      </c>
      <c r="R68" s="44">
        <v>12</v>
      </c>
      <c r="S68" s="44">
        <v>47</v>
      </c>
    </row>
    <row r="69" spans="1:19" ht="15.75" customHeight="1">
      <c r="A69" s="10"/>
      <c r="B69" s="10" t="s">
        <v>22</v>
      </c>
      <c r="C69" s="10" t="s">
        <v>131</v>
      </c>
      <c r="D69" s="72" t="s">
        <v>339</v>
      </c>
      <c r="E69" s="73"/>
      <c r="F69" s="10"/>
      <c r="G69" s="10"/>
      <c r="H69" s="10" t="s">
        <v>494</v>
      </c>
      <c r="I69" s="44">
        <v>41</v>
      </c>
      <c r="J69" s="44">
        <v>47</v>
      </c>
      <c r="K69" s="44">
        <v>47</v>
      </c>
      <c r="L69" s="44">
        <v>59</v>
      </c>
      <c r="M69" s="44">
        <v>118</v>
      </c>
      <c r="N69" s="44">
        <v>147</v>
      </c>
      <c r="O69" s="44">
        <v>177</v>
      </c>
      <c r="P69" s="44">
        <v>206</v>
      </c>
      <c r="Q69" s="44">
        <v>206</v>
      </c>
      <c r="R69" s="44">
        <v>12</v>
      </c>
      <c r="S69" s="44">
        <v>47</v>
      </c>
    </row>
    <row r="70" spans="1:19" ht="15.75" customHeight="1">
      <c r="A70" s="10"/>
      <c r="B70" s="10" t="s">
        <v>22</v>
      </c>
      <c r="C70" s="10" t="s">
        <v>133</v>
      </c>
      <c r="D70" s="72" t="s">
        <v>339</v>
      </c>
      <c r="E70" s="73"/>
      <c r="F70" s="10"/>
      <c r="G70" s="10"/>
      <c r="H70" s="10" t="s">
        <v>495</v>
      </c>
      <c r="I70" s="44">
        <v>41</v>
      </c>
      <c r="J70" s="44">
        <v>47</v>
      </c>
      <c r="K70" s="44">
        <v>47</v>
      </c>
      <c r="L70" s="44">
        <v>59</v>
      </c>
      <c r="M70" s="44">
        <v>118</v>
      </c>
      <c r="N70" s="44">
        <v>147</v>
      </c>
      <c r="O70" s="44">
        <v>177</v>
      </c>
      <c r="P70" s="44">
        <v>206</v>
      </c>
      <c r="Q70" s="44">
        <v>206</v>
      </c>
      <c r="R70" s="44">
        <v>12</v>
      </c>
      <c r="S70" s="44">
        <v>47</v>
      </c>
    </row>
    <row r="71" spans="1:19" ht="15.75" customHeight="1">
      <c r="A71" s="10"/>
      <c r="B71" s="10" t="s">
        <v>22</v>
      </c>
      <c r="C71" s="10" t="s">
        <v>135</v>
      </c>
      <c r="D71" s="72" t="s">
        <v>339</v>
      </c>
      <c r="E71" s="73"/>
      <c r="F71" s="10"/>
      <c r="G71" s="10"/>
      <c r="H71" s="10" t="s">
        <v>496</v>
      </c>
      <c r="I71" s="44">
        <v>41</v>
      </c>
      <c r="J71" s="44">
        <v>47</v>
      </c>
      <c r="K71" s="44">
        <v>47</v>
      </c>
      <c r="L71" s="44">
        <v>59</v>
      </c>
      <c r="M71" s="44">
        <v>118</v>
      </c>
      <c r="N71" s="44">
        <v>147</v>
      </c>
      <c r="O71" s="44">
        <v>177</v>
      </c>
      <c r="P71" s="44">
        <v>206</v>
      </c>
      <c r="Q71" s="44">
        <v>206</v>
      </c>
      <c r="R71" s="44">
        <v>12</v>
      </c>
      <c r="S71" s="44">
        <v>47</v>
      </c>
    </row>
    <row r="72" spans="1:19" ht="15.75" customHeight="1">
      <c r="A72" s="10"/>
      <c r="B72" s="10" t="s">
        <v>22</v>
      </c>
      <c r="C72" s="10" t="s">
        <v>137</v>
      </c>
      <c r="D72" s="72" t="s">
        <v>339</v>
      </c>
      <c r="E72" s="73"/>
      <c r="F72" s="10"/>
      <c r="G72" s="10"/>
      <c r="H72" s="10" t="s">
        <v>492</v>
      </c>
      <c r="I72" s="44">
        <v>30</v>
      </c>
      <c r="J72" s="44">
        <v>36</v>
      </c>
      <c r="K72" s="44">
        <v>41</v>
      </c>
      <c r="L72" s="44">
        <v>53</v>
      </c>
      <c r="M72" s="44">
        <v>130</v>
      </c>
      <c r="N72" s="44">
        <v>147</v>
      </c>
      <c r="O72" s="44">
        <v>177</v>
      </c>
      <c r="P72" s="44">
        <v>206</v>
      </c>
      <c r="Q72" s="44">
        <v>206</v>
      </c>
      <c r="R72" s="44">
        <v>12</v>
      </c>
      <c r="S72" s="44">
        <v>47</v>
      </c>
    </row>
    <row r="73" spans="1:19" ht="15.75" customHeight="1">
      <c r="A73" s="10"/>
      <c r="B73" s="10" t="s">
        <v>22</v>
      </c>
      <c r="C73" s="10" t="s">
        <v>139</v>
      </c>
      <c r="D73" s="72" t="s">
        <v>339</v>
      </c>
      <c r="E73" s="73"/>
      <c r="F73" s="10"/>
      <c r="G73" s="10"/>
      <c r="H73" s="10" t="s">
        <v>497</v>
      </c>
      <c r="I73" s="44">
        <v>41</v>
      </c>
      <c r="J73" s="44">
        <v>47</v>
      </c>
      <c r="K73" s="44">
        <v>47</v>
      </c>
      <c r="L73" s="44">
        <v>59</v>
      </c>
      <c r="M73" s="44">
        <v>118</v>
      </c>
      <c r="N73" s="44">
        <v>147</v>
      </c>
      <c r="O73" s="44">
        <v>177</v>
      </c>
      <c r="P73" s="44">
        <v>206</v>
      </c>
      <c r="Q73" s="44">
        <v>206</v>
      </c>
      <c r="R73" s="44">
        <v>12</v>
      </c>
      <c r="S73" s="44">
        <v>47</v>
      </c>
    </row>
    <row r="74" spans="1:19" ht="15.75" customHeight="1">
      <c r="A74" s="10"/>
      <c r="B74" s="10" t="s">
        <v>22</v>
      </c>
      <c r="C74" s="10" t="s">
        <v>141</v>
      </c>
      <c r="D74" s="72" t="s">
        <v>339</v>
      </c>
      <c r="E74" s="73"/>
      <c r="F74" s="10"/>
      <c r="G74" s="10"/>
      <c r="H74" s="10" t="s">
        <v>492</v>
      </c>
      <c r="I74" s="44">
        <v>29</v>
      </c>
      <c r="J74" s="44">
        <v>32</v>
      </c>
      <c r="K74" s="44">
        <v>29</v>
      </c>
      <c r="L74" s="44">
        <v>31</v>
      </c>
      <c r="M74" s="44">
        <v>118</v>
      </c>
      <c r="N74" s="44">
        <v>147</v>
      </c>
      <c r="O74" s="44">
        <v>177</v>
      </c>
      <c r="P74" s="44">
        <v>206</v>
      </c>
      <c r="Q74" s="44">
        <v>206</v>
      </c>
      <c r="R74" s="44">
        <v>12</v>
      </c>
      <c r="S74" s="44">
        <v>47</v>
      </c>
    </row>
    <row r="75" spans="1:19" ht="15.75" customHeight="1">
      <c r="A75" s="10"/>
      <c r="B75" s="10" t="s">
        <v>22</v>
      </c>
      <c r="C75" s="10" t="s">
        <v>143</v>
      </c>
      <c r="D75" s="72" t="s">
        <v>339</v>
      </c>
      <c r="E75" s="73"/>
      <c r="F75" s="10"/>
      <c r="G75" s="10"/>
      <c r="H75" s="10" t="s">
        <v>498</v>
      </c>
      <c r="I75" s="44">
        <v>41</v>
      </c>
      <c r="J75" s="44">
        <v>47</v>
      </c>
      <c r="K75" s="44">
        <v>47</v>
      </c>
      <c r="L75" s="44">
        <v>59</v>
      </c>
      <c r="M75" s="44">
        <v>118</v>
      </c>
      <c r="N75" s="44">
        <v>147</v>
      </c>
      <c r="O75" s="44">
        <v>177</v>
      </c>
      <c r="P75" s="44">
        <v>206</v>
      </c>
      <c r="Q75" s="44">
        <v>206</v>
      </c>
      <c r="R75" s="44">
        <v>12</v>
      </c>
      <c r="S75" s="44">
        <v>47</v>
      </c>
    </row>
    <row r="76" spans="1:19" ht="15.75" customHeight="1">
      <c r="A76" s="10"/>
      <c r="B76" s="10" t="s">
        <v>22</v>
      </c>
      <c r="C76" s="10" t="s">
        <v>145</v>
      </c>
      <c r="D76" s="72" t="s">
        <v>339</v>
      </c>
      <c r="E76" s="73"/>
      <c r="F76" s="10"/>
      <c r="G76" s="10"/>
      <c r="H76" s="10" t="s">
        <v>499</v>
      </c>
      <c r="I76" s="44">
        <v>41</v>
      </c>
      <c r="J76" s="44">
        <v>47</v>
      </c>
      <c r="K76" s="44">
        <v>47</v>
      </c>
      <c r="L76" s="44">
        <v>59</v>
      </c>
      <c r="M76" s="44">
        <v>118</v>
      </c>
      <c r="N76" s="44">
        <v>147</v>
      </c>
      <c r="O76" s="44">
        <v>177</v>
      </c>
      <c r="P76" s="44">
        <v>206</v>
      </c>
      <c r="Q76" s="44">
        <v>206</v>
      </c>
      <c r="R76" s="44">
        <v>12</v>
      </c>
      <c r="S76" s="44">
        <v>47</v>
      </c>
    </row>
    <row r="77" spans="1:19" ht="15.75" customHeight="1">
      <c r="A77" s="10"/>
      <c r="B77" s="10" t="s">
        <v>22</v>
      </c>
      <c r="C77" s="10" t="s">
        <v>147</v>
      </c>
      <c r="D77" s="72" t="s">
        <v>339</v>
      </c>
      <c r="E77" s="73"/>
      <c r="F77" s="10"/>
      <c r="G77" s="10"/>
      <c r="H77" s="10" t="s">
        <v>500</v>
      </c>
      <c r="I77" s="44">
        <v>41</v>
      </c>
      <c r="J77" s="44">
        <v>47</v>
      </c>
      <c r="K77" s="44">
        <v>47</v>
      </c>
      <c r="L77" s="44">
        <v>59</v>
      </c>
      <c r="M77" s="44">
        <v>118</v>
      </c>
      <c r="N77" s="44">
        <v>147</v>
      </c>
      <c r="O77" s="44">
        <v>177</v>
      </c>
      <c r="P77" s="44">
        <v>206</v>
      </c>
      <c r="Q77" s="44">
        <v>206</v>
      </c>
      <c r="R77" s="44">
        <v>12</v>
      </c>
      <c r="S77" s="44">
        <v>47</v>
      </c>
    </row>
    <row r="78" spans="1:19" ht="15.75" customHeight="1">
      <c r="A78" s="10"/>
      <c r="B78" s="10" t="s">
        <v>22</v>
      </c>
      <c r="C78" s="10" t="s">
        <v>149</v>
      </c>
      <c r="D78" s="72" t="s">
        <v>339</v>
      </c>
      <c r="E78" s="73"/>
      <c r="F78" s="10"/>
      <c r="G78" s="10"/>
      <c r="H78" s="10" t="s">
        <v>492</v>
      </c>
      <c r="I78" s="44">
        <v>41</v>
      </c>
      <c r="J78" s="44">
        <v>47</v>
      </c>
      <c r="K78" s="44">
        <v>47</v>
      </c>
      <c r="L78" s="44">
        <v>59</v>
      </c>
      <c r="M78" s="44">
        <v>118</v>
      </c>
      <c r="N78" s="44">
        <v>147</v>
      </c>
      <c r="O78" s="44">
        <v>177</v>
      </c>
      <c r="P78" s="44">
        <v>206</v>
      </c>
      <c r="Q78" s="44">
        <v>206</v>
      </c>
      <c r="R78" s="44">
        <v>12</v>
      </c>
      <c r="S78" s="44">
        <v>47</v>
      </c>
    </row>
    <row r="79" spans="1:19" ht="15.75" customHeight="1">
      <c r="A79" s="10"/>
      <c r="B79" s="10" t="s">
        <v>22</v>
      </c>
      <c r="C79" s="10" t="s">
        <v>151</v>
      </c>
      <c r="D79" s="72" t="s">
        <v>339</v>
      </c>
      <c r="E79" s="73"/>
      <c r="F79" s="10"/>
      <c r="G79" s="10"/>
      <c r="H79" s="10" t="s">
        <v>501</v>
      </c>
      <c r="I79" s="44">
        <v>35</v>
      </c>
      <c r="J79" s="44">
        <v>38</v>
      </c>
      <c r="K79" s="44">
        <v>40</v>
      </c>
      <c r="L79" s="44">
        <v>50</v>
      </c>
      <c r="M79" s="44">
        <v>88</v>
      </c>
      <c r="N79" s="44">
        <v>147</v>
      </c>
      <c r="O79" s="44">
        <v>177</v>
      </c>
      <c r="P79" s="44">
        <v>206</v>
      </c>
      <c r="Q79" s="44">
        <v>206</v>
      </c>
      <c r="R79" s="44">
        <v>12</v>
      </c>
      <c r="S79" s="44">
        <v>47</v>
      </c>
    </row>
    <row r="80" spans="1:19" ht="15.75" customHeight="1">
      <c r="A80" s="10"/>
      <c r="B80" s="10" t="s">
        <v>22</v>
      </c>
      <c r="C80" s="10" t="s">
        <v>153</v>
      </c>
      <c r="D80" s="72" t="s">
        <v>339</v>
      </c>
      <c r="E80" s="73"/>
      <c r="F80" s="10"/>
      <c r="G80" s="10"/>
      <c r="H80" s="10" t="s">
        <v>502</v>
      </c>
      <c r="I80" s="44">
        <v>35</v>
      </c>
      <c r="J80" s="44">
        <v>38</v>
      </c>
      <c r="K80" s="44">
        <v>40</v>
      </c>
      <c r="L80" s="44">
        <v>50</v>
      </c>
      <c r="M80" s="44">
        <v>88</v>
      </c>
      <c r="N80" s="44">
        <v>147</v>
      </c>
      <c r="O80" s="44">
        <v>177</v>
      </c>
      <c r="P80" s="44">
        <v>206</v>
      </c>
      <c r="Q80" s="44">
        <v>206</v>
      </c>
      <c r="R80" s="44">
        <v>12</v>
      </c>
      <c r="S80" s="44">
        <v>47</v>
      </c>
    </row>
    <row r="81" spans="1:19" ht="15.75" customHeight="1">
      <c r="A81" s="10"/>
      <c r="B81" s="10" t="s">
        <v>22</v>
      </c>
      <c r="C81" s="10" t="s">
        <v>155</v>
      </c>
      <c r="D81" s="72" t="s">
        <v>339</v>
      </c>
      <c r="E81" s="73"/>
      <c r="F81" s="10"/>
      <c r="G81" s="10"/>
      <c r="H81" s="10" t="s">
        <v>503</v>
      </c>
      <c r="I81" s="44">
        <v>35</v>
      </c>
      <c r="J81" s="44">
        <v>38</v>
      </c>
      <c r="K81" s="44">
        <v>40</v>
      </c>
      <c r="L81" s="44">
        <v>50</v>
      </c>
      <c r="M81" s="44">
        <v>88</v>
      </c>
      <c r="N81" s="44">
        <v>147</v>
      </c>
      <c r="O81" s="44">
        <v>177</v>
      </c>
      <c r="P81" s="44">
        <v>206</v>
      </c>
      <c r="Q81" s="44">
        <v>206</v>
      </c>
      <c r="R81" s="44">
        <v>12</v>
      </c>
      <c r="S81" s="44">
        <v>47</v>
      </c>
    </row>
    <row r="82" spans="1:19" ht="15.75" customHeight="1">
      <c r="A82" s="10"/>
      <c r="B82" s="10" t="s">
        <v>22</v>
      </c>
      <c r="C82" s="10" t="s">
        <v>158</v>
      </c>
      <c r="D82" s="72" t="s">
        <v>339</v>
      </c>
      <c r="E82" s="73"/>
      <c r="F82" s="10"/>
      <c r="G82" s="10"/>
      <c r="H82" s="10" t="s">
        <v>504</v>
      </c>
      <c r="I82" s="44">
        <v>35</v>
      </c>
      <c r="J82" s="44">
        <v>38</v>
      </c>
      <c r="K82" s="44">
        <v>40</v>
      </c>
      <c r="L82" s="44">
        <v>50</v>
      </c>
      <c r="M82" s="44">
        <v>88</v>
      </c>
      <c r="N82" s="44">
        <v>147</v>
      </c>
      <c r="O82" s="44">
        <v>177</v>
      </c>
      <c r="P82" s="44">
        <v>206</v>
      </c>
      <c r="Q82" s="44">
        <v>206</v>
      </c>
      <c r="R82" s="44">
        <v>12</v>
      </c>
      <c r="S82" s="44">
        <v>47</v>
      </c>
    </row>
    <row r="83" spans="1:19" ht="15.75" customHeight="1">
      <c r="A83" s="10"/>
      <c r="B83" s="10" t="s">
        <v>22</v>
      </c>
      <c r="C83" s="10" t="s">
        <v>160</v>
      </c>
      <c r="D83" s="72" t="s">
        <v>339</v>
      </c>
      <c r="E83" s="73"/>
      <c r="F83" s="10"/>
      <c r="G83" s="10"/>
      <c r="H83" s="10" t="s">
        <v>502</v>
      </c>
      <c r="I83" s="44">
        <v>35</v>
      </c>
      <c r="J83" s="44">
        <v>38</v>
      </c>
      <c r="K83" s="44">
        <v>40</v>
      </c>
      <c r="L83" s="44">
        <v>50</v>
      </c>
      <c r="M83" s="44">
        <v>124</v>
      </c>
      <c r="N83" s="44">
        <v>147</v>
      </c>
      <c r="O83" s="44">
        <v>177</v>
      </c>
      <c r="P83" s="44">
        <v>206</v>
      </c>
      <c r="Q83" s="44">
        <v>206</v>
      </c>
      <c r="R83" s="44">
        <v>12</v>
      </c>
      <c r="S83" s="44">
        <v>47</v>
      </c>
    </row>
    <row r="84" spans="1:19" ht="15.75" customHeight="1">
      <c r="A84" s="10"/>
      <c r="B84" s="10" t="s">
        <v>22</v>
      </c>
      <c r="C84" s="10" t="s">
        <v>162</v>
      </c>
      <c r="D84" s="72" t="s">
        <v>339</v>
      </c>
      <c r="E84" s="73"/>
      <c r="F84" s="10"/>
      <c r="G84" s="10"/>
      <c r="H84" s="10" t="s">
        <v>505</v>
      </c>
      <c r="I84" s="44">
        <v>35</v>
      </c>
      <c r="J84" s="44">
        <v>38</v>
      </c>
      <c r="K84" s="44">
        <v>40</v>
      </c>
      <c r="L84" s="44">
        <v>50</v>
      </c>
      <c r="M84" s="44">
        <v>88</v>
      </c>
      <c r="N84" s="44">
        <v>147</v>
      </c>
      <c r="O84" s="44">
        <v>177</v>
      </c>
      <c r="P84" s="44">
        <v>206</v>
      </c>
      <c r="Q84" s="44">
        <v>206</v>
      </c>
      <c r="R84" s="44">
        <v>12</v>
      </c>
      <c r="S84" s="44">
        <v>47</v>
      </c>
    </row>
    <row r="85" spans="1:19" ht="15.75" customHeight="1">
      <c r="A85" s="10"/>
      <c r="B85" s="10" t="s">
        <v>22</v>
      </c>
      <c r="C85" s="10" t="s">
        <v>164</v>
      </c>
      <c r="D85" s="72" t="s">
        <v>339</v>
      </c>
      <c r="E85" s="73"/>
      <c r="F85" s="10"/>
      <c r="G85" s="10"/>
      <c r="H85" s="10" t="s">
        <v>502</v>
      </c>
      <c r="I85" s="44">
        <v>35</v>
      </c>
      <c r="J85" s="44">
        <v>38</v>
      </c>
      <c r="K85" s="44">
        <v>40</v>
      </c>
      <c r="L85" s="44">
        <v>50</v>
      </c>
      <c r="M85" s="44">
        <v>88</v>
      </c>
      <c r="N85" s="44">
        <v>147</v>
      </c>
      <c r="O85" s="44">
        <v>177</v>
      </c>
      <c r="P85" s="44">
        <v>206</v>
      </c>
      <c r="Q85" s="44">
        <v>206</v>
      </c>
      <c r="R85" s="44">
        <v>12</v>
      </c>
      <c r="S85" s="44">
        <v>47</v>
      </c>
    </row>
    <row r="86" spans="1:19" ht="15.75" customHeight="1">
      <c r="A86" s="10"/>
      <c r="B86" s="10" t="s">
        <v>22</v>
      </c>
      <c r="C86" s="10" t="s">
        <v>414</v>
      </c>
      <c r="D86" s="72" t="s">
        <v>339</v>
      </c>
      <c r="E86" s="73"/>
      <c r="F86" s="10"/>
      <c r="G86" s="10"/>
      <c r="H86" s="10" t="s">
        <v>506</v>
      </c>
      <c r="I86" s="44">
        <v>35</v>
      </c>
      <c r="J86" s="44">
        <v>38</v>
      </c>
      <c r="K86" s="44">
        <v>40</v>
      </c>
      <c r="L86" s="44">
        <v>50</v>
      </c>
      <c r="M86" s="44">
        <v>88</v>
      </c>
      <c r="N86" s="44">
        <v>147</v>
      </c>
      <c r="O86" s="44">
        <v>177</v>
      </c>
      <c r="P86" s="44">
        <v>206</v>
      </c>
      <c r="Q86" s="44">
        <v>206</v>
      </c>
      <c r="R86" s="44">
        <v>12</v>
      </c>
      <c r="S86" s="44">
        <v>47</v>
      </c>
    </row>
    <row r="87" spans="1:19" ht="15.75" customHeight="1">
      <c r="A87" s="10"/>
      <c r="B87" s="10" t="s">
        <v>22</v>
      </c>
      <c r="C87" s="10" t="s">
        <v>416</v>
      </c>
      <c r="D87" s="72" t="s">
        <v>339</v>
      </c>
      <c r="E87" s="73"/>
      <c r="F87" s="10"/>
      <c r="G87" s="10"/>
      <c r="H87" s="10" t="s">
        <v>507</v>
      </c>
      <c r="I87" s="44">
        <v>35</v>
      </c>
      <c r="J87" s="44">
        <v>38</v>
      </c>
      <c r="K87" s="44">
        <v>40</v>
      </c>
      <c r="L87" s="44">
        <v>50</v>
      </c>
      <c r="M87" s="44">
        <v>88</v>
      </c>
      <c r="N87" s="44">
        <v>147</v>
      </c>
      <c r="O87" s="44">
        <v>177</v>
      </c>
      <c r="P87" s="44">
        <v>206</v>
      </c>
      <c r="Q87" s="44">
        <v>206</v>
      </c>
      <c r="R87" s="44">
        <v>12</v>
      </c>
      <c r="S87" s="44">
        <v>47</v>
      </c>
    </row>
    <row r="88" spans="1:19" ht="15.75" customHeight="1">
      <c r="A88" s="10"/>
      <c r="B88" s="10" t="s">
        <v>22</v>
      </c>
      <c r="C88" s="10" t="s">
        <v>170</v>
      </c>
      <c r="D88" s="72" t="s">
        <v>339</v>
      </c>
      <c r="E88" s="73"/>
      <c r="F88" s="10"/>
      <c r="G88" s="10"/>
      <c r="H88" s="10" t="s">
        <v>508</v>
      </c>
      <c r="I88" s="44">
        <v>35</v>
      </c>
      <c r="J88" s="44">
        <v>38</v>
      </c>
      <c r="K88" s="44">
        <v>40</v>
      </c>
      <c r="L88" s="44">
        <v>50</v>
      </c>
      <c r="M88" s="44">
        <v>88</v>
      </c>
      <c r="N88" s="44">
        <v>147</v>
      </c>
      <c r="O88" s="44">
        <v>177</v>
      </c>
      <c r="P88" s="44">
        <v>206</v>
      </c>
      <c r="Q88" s="44">
        <v>206</v>
      </c>
      <c r="R88" s="44">
        <v>12</v>
      </c>
      <c r="S88" s="44">
        <v>47</v>
      </c>
    </row>
    <row r="89" spans="1:19" ht="15.75" customHeight="1">
      <c r="A89" s="10"/>
      <c r="B89" s="10" t="s">
        <v>22</v>
      </c>
      <c r="C89" s="10" t="s">
        <v>172</v>
      </c>
      <c r="D89" s="72" t="s">
        <v>339</v>
      </c>
      <c r="E89" s="73"/>
      <c r="F89" s="10"/>
      <c r="G89" s="10"/>
      <c r="H89" s="10" t="s">
        <v>502</v>
      </c>
      <c r="I89" s="44">
        <v>35</v>
      </c>
      <c r="J89" s="44">
        <v>38</v>
      </c>
      <c r="K89" s="44">
        <v>40</v>
      </c>
      <c r="L89" s="44">
        <v>50</v>
      </c>
      <c r="M89" s="44">
        <v>88</v>
      </c>
      <c r="N89" s="44">
        <v>147</v>
      </c>
      <c r="O89" s="44">
        <v>177</v>
      </c>
      <c r="P89" s="44">
        <v>206</v>
      </c>
      <c r="Q89" s="44">
        <v>206</v>
      </c>
      <c r="R89" s="44">
        <v>12</v>
      </c>
      <c r="S89" s="44">
        <v>47</v>
      </c>
    </row>
    <row r="90" spans="1:19" ht="15.75" customHeight="1">
      <c r="A90" s="10"/>
      <c r="B90" s="10" t="s">
        <v>22</v>
      </c>
      <c r="C90" s="10" t="s">
        <v>174</v>
      </c>
      <c r="D90" s="72" t="s">
        <v>339</v>
      </c>
      <c r="E90" s="73"/>
      <c r="F90" s="10"/>
      <c r="G90" s="10"/>
      <c r="H90" s="10" t="s">
        <v>509</v>
      </c>
      <c r="I90" s="44">
        <v>35</v>
      </c>
      <c r="J90" s="44">
        <v>38</v>
      </c>
      <c r="K90" s="44">
        <v>40</v>
      </c>
      <c r="L90" s="44">
        <v>50</v>
      </c>
      <c r="M90" s="44">
        <v>88</v>
      </c>
      <c r="N90" s="44">
        <v>147</v>
      </c>
      <c r="O90" s="44">
        <v>177</v>
      </c>
      <c r="P90" s="44">
        <v>206</v>
      </c>
      <c r="Q90" s="44">
        <v>206</v>
      </c>
      <c r="R90" s="44">
        <v>12</v>
      </c>
      <c r="S90" s="44">
        <v>47</v>
      </c>
    </row>
    <row r="91" spans="1:19" ht="15.75" customHeight="1">
      <c r="A91" s="10"/>
      <c r="B91" s="10" t="s">
        <v>22</v>
      </c>
      <c r="C91" s="10" t="s">
        <v>176</v>
      </c>
      <c r="D91" s="72" t="s">
        <v>339</v>
      </c>
      <c r="E91" s="73"/>
      <c r="F91" s="10"/>
      <c r="G91" s="10"/>
      <c r="H91" s="10" t="s">
        <v>510</v>
      </c>
      <c r="I91" s="44">
        <v>35</v>
      </c>
      <c r="J91" s="44">
        <v>38</v>
      </c>
      <c r="K91" s="44">
        <v>40</v>
      </c>
      <c r="L91" s="44">
        <v>50</v>
      </c>
      <c r="M91" s="44">
        <v>88</v>
      </c>
      <c r="N91" s="44">
        <v>147</v>
      </c>
      <c r="O91" s="44">
        <v>177</v>
      </c>
      <c r="P91" s="44">
        <v>206</v>
      </c>
      <c r="Q91" s="44">
        <v>206</v>
      </c>
      <c r="R91" s="44">
        <v>12</v>
      </c>
      <c r="S91" s="44">
        <v>47</v>
      </c>
    </row>
    <row r="92" spans="1:19" ht="15.75" customHeight="1">
      <c r="A92" s="10"/>
      <c r="B92" s="10" t="s">
        <v>22</v>
      </c>
      <c r="C92" s="10" t="s">
        <v>178</v>
      </c>
      <c r="D92" s="72" t="s">
        <v>339</v>
      </c>
      <c r="E92" s="73"/>
      <c r="F92" s="10"/>
      <c r="G92" s="10"/>
      <c r="H92" s="10" t="s">
        <v>511</v>
      </c>
      <c r="I92" s="44">
        <v>35</v>
      </c>
      <c r="J92" s="44">
        <v>38</v>
      </c>
      <c r="K92" s="44">
        <v>40</v>
      </c>
      <c r="L92" s="44">
        <v>50</v>
      </c>
      <c r="M92" s="44">
        <v>88</v>
      </c>
      <c r="N92" s="44">
        <v>147</v>
      </c>
      <c r="O92" s="44">
        <v>177</v>
      </c>
      <c r="P92" s="44">
        <v>206</v>
      </c>
      <c r="Q92" s="44">
        <v>206</v>
      </c>
      <c r="R92" s="44">
        <v>12</v>
      </c>
      <c r="S92" s="44">
        <v>47</v>
      </c>
    </row>
    <row r="93" spans="1:19" ht="15.75" customHeight="1">
      <c r="A93" s="10"/>
      <c r="B93" s="10" t="s">
        <v>22</v>
      </c>
      <c r="C93" s="10" t="s">
        <v>180</v>
      </c>
      <c r="D93" s="72" t="s">
        <v>339</v>
      </c>
      <c r="E93" s="73"/>
      <c r="F93" s="10"/>
      <c r="G93" s="10"/>
      <c r="H93" s="10" t="s">
        <v>509</v>
      </c>
      <c r="I93" s="44">
        <v>41</v>
      </c>
      <c r="J93" s="44">
        <v>47</v>
      </c>
      <c r="K93" s="44">
        <v>47</v>
      </c>
      <c r="L93" s="44">
        <v>59</v>
      </c>
      <c r="M93" s="44">
        <v>124</v>
      </c>
      <c r="N93" s="44">
        <v>147</v>
      </c>
      <c r="O93" s="44">
        <v>177</v>
      </c>
      <c r="P93" s="44">
        <v>206</v>
      </c>
      <c r="Q93" s="44">
        <v>206</v>
      </c>
      <c r="R93" s="44">
        <v>12</v>
      </c>
      <c r="S93" s="44">
        <v>47</v>
      </c>
    </row>
    <row r="94" spans="1:19" ht="15.75" customHeight="1">
      <c r="A94" s="10"/>
      <c r="B94" s="10" t="s">
        <v>22</v>
      </c>
      <c r="C94" s="10" t="s">
        <v>182</v>
      </c>
      <c r="D94" s="72" t="s">
        <v>339</v>
      </c>
      <c r="E94" s="73"/>
      <c r="F94" s="10"/>
      <c r="G94" s="10"/>
      <c r="H94" s="10" t="s">
        <v>512</v>
      </c>
      <c r="I94" s="44">
        <v>35</v>
      </c>
      <c r="J94" s="44">
        <v>38</v>
      </c>
      <c r="K94" s="44">
        <v>40</v>
      </c>
      <c r="L94" s="44">
        <v>50</v>
      </c>
      <c r="M94" s="44">
        <v>88</v>
      </c>
      <c r="N94" s="44">
        <v>147</v>
      </c>
      <c r="O94" s="44">
        <v>177</v>
      </c>
      <c r="P94" s="44">
        <v>206</v>
      </c>
      <c r="Q94" s="44">
        <v>206</v>
      </c>
      <c r="R94" s="44">
        <v>12</v>
      </c>
      <c r="S94" s="44">
        <v>47</v>
      </c>
    </row>
    <row r="95" spans="1:19" ht="15.75" customHeight="1">
      <c r="A95" s="10"/>
      <c r="B95" s="10" t="s">
        <v>22</v>
      </c>
      <c r="C95" s="10" t="s">
        <v>184</v>
      </c>
      <c r="D95" s="72" t="s">
        <v>339</v>
      </c>
      <c r="E95" s="73"/>
      <c r="F95" s="10"/>
      <c r="G95" s="10"/>
      <c r="H95" s="10" t="s">
        <v>509</v>
      </c>
      <c r="I95" s="44">
        <v>35</v>
      </c>
      <c r="J95" s="44">
        <v>38</v>
      </c>
      <c r="K95" s="44">
        <v>40</v>
      </c>
      <c r="L95" s="44">
        <v>50</v>
      </c>
      <c r="M95" s="44">
        <v>88</v>
      </c>
      <c r="N95" s="44">
        <v>147</v>
      </c>
      <c r="O95" s="44">
        <v>177</v>
      </c>
      <c r="P95" s="44">
        <v>206</v>
      </c>
      <c r="Q95" s="44">
        <v>206</v>
      </c>
      <c r="R95" s="44">
        <v>12</v>
      </c>
      <c r="S95" s="44">
        <v>47</v>
      </c>
    </row>
    <row r="96" spans="1:19" ht="15.75" customHeight="1">
      <c r="A96" s="10"/>
      <c r="B96" s="10" t="s">
        <v>22</v>
      </c>
      <c r="C96" s="10" t="s">
        <v>186</v>
      </c>
      <c r="D96" s="72" t="s">
        <v>339</v>
      </c>
      <c r="E96" s="73"/>
      <c r="F96" s="10"/>
      <c r="G96" s="10"/>
      <c r="H96" s="10" t="s">
        <v>513</v>
      </c>
      <c r="I96" s="44">
        <v>35</v>
      </c>
      <c r="J96" s="44">
        <v>38</v>
      </c>
      <c r="K96" s="44">
        <v>40</v>
      </c>
      <c r="L96" s="44">
        <v>50</v>
      </c>
      <c r="M96" s="44">
        <v>88</v>
      </c>
      <c r="N96" s="44">
        <v>147</v>
      </c>
      <c r="O96" s="44">
        <v>177</v>
      </c>
      <c r="P96" s="44">
        <v>206</v>
      </c>
      <c r="Q96" s="44">
        <v>206</v>
      </c>
      <c r="R96" s="44">
        <v>12</v>
      </c>
      <c r="S96" s="44">
        <v>47</v>
      </c>
    </row>
    <row r="97" spans="1:19" ht="15.75" customHeight="1">
      <c r="A97" s="10"/>
      <c r="B97" s="10" t="s">
        <v>22</v>
      </c>
      <c r="C97" s="10" t="s">
        <v>188</v>
      </c>
      <c r="D97" s="72" t="s">
        <v>339</v>
      </c>
      <c r="E97" s="73"/>
      <c r="F97" s="10"/>
      <c r="G97" s="10"/>
      <c r="H97" s="10" t="s">
        <v>514</v>
      </c>
      <c r="I97" s="44">
        <v>35</v>
      </c>
      <c r="J97" s="44">
        <v>38</v>
      </c>
      <c r="K97" s="44">
        <v>40</v>
      </c>
      <c r="L97" s="44">
        <v>50</v>
      </c>
      <c r="M97" s="44">
        <v>88</v>
      </c>
      <c r="N97" s="44">
        <v>147</v>
      </c>
      <c r="O97" s="44">
        <v>177</v>
      </c>
      <c r="P97" s="44">
        <v>206</v>
      </c>
      <c r="Q97" s="44">
        <v>206</v>
      </c>
      <c r="R97" s="44">
        <v>12</v>
      </c>
      <c r="S97" s="44">
        <v>47</v>
      </c>
    </row>
    <row r="98" spans="1:19" ht="15.75" customHeight="1">
      <c r="A98" s="10"/>
      <c r="B98" s="10" t="s">
        <v>22</v>
      </c>
      <c r="C98" s="10" t="s">
        <v>190</v>
      </c>
      <c r="D98" s="72" t="s">
        <v>339</v>
      </c>
      <c r="E98" s="73"/>
      <c r="F98" s="10"/>
      <c r="G98" s="10"/>
      <c r="H98" s="10" t="s">
        <v>509</v>
      </c>
      <c r="I98" s="44">
        <v>35</v>
      </c>
      <c r="J98" s="44">
        <v>38</v>
      </c>
      <c r="K98" s="44">
        <v>40</v>
      </c>
      <c r="L98" s="44">
        <v>50</v>
      </c>
      <c r="M98" s="44">
        <v>88</v>
      </c>
      <c r="N98" s="44">
        <v>147</v>
      </c>
      <c r="O98" s="44">
        <v>177</v>
      </c>
      <c r="P98" s="44">
        <v>206</v>
      </c>
      <c r="Q98" s="44">
        <v>206</v>
      </c>
      <c r="R98" s="44">
        <v>12</v>
      </c>
      <c r="S98" s="44">
        <v>47</v>
      </c>
    </row>
    <row r="99" spans="1:19" ht="15.75" customHeight="1">
      <c r="A99" s="10"/>
      <c r="B99" s="10" t="s">
        <v>22</v>
      </c>
      <c r="C99" s="10" t="s">
        <v>192</v>
      </c>
      <c r="D99" s="72" t="s">
        <v>339</v>
      </c>
      <c r="E99" s="73"/>
      <c r="F99" s="10"/>
      <c r="G99" s="10"/>
      <c r="H99" s="10" t="s">
        <v>515</v>
      </c>
      <c r="I99" s="44">
        <v>35</v>
      </c>
      <c r="J99" s="44">
        <v>38</v>
      </c>
      <c r="K99" s="44">
        <v>40</v>
      </c>
      <c r="L99" s="44">
        <v>50</v>
      </c>
      <c r="M99" s="44">
        <v>88</v>
      </c>
      <c r="N99" s="44">
        <v>147</v>
      </c>
      <c r="O99" s="44">
        <v>177</v>
      </c>
      <c r="P99" s="44">
        <v>206</v>
      </c>
      <c r="Q99" s="44">
        <v>206</v>
      </c>
      <c r="R99" s="44">
        <v>12</v>
      </c>
      <c r="S99" s="44">
        <v>47</v>
      </c>
    </row>
    <row r="100" spans="1:19" ht="15.75" customHeight="1">
      <c r="A100" s="10"/>
      <c r="B100" s="10" t="s">
        <v>22</v>
      </c>
      <c r="C100" s="10" t="s">
        <v>194</v>
      </c>
      <c r="D100" s="72" t="s">
        <v>339</v>
      </c>
      <c r="E100" s="73"/>
      <c r="F100" s="10"/>
      <c r="G100" s="10"/>
      <c r="H100" s="10" t="s">
        <v>516</v>
      </c>
      <c r="I100" s="44">
        <v>35</v>
      </c>
      <c r="J100" s="44">
        <v>38</v>
      </c>
      <c r="K100" s="44">
        <v>40</v>
      </c>
      <c r="L100" s="44">
        <v>50</v>
      </c>
      <c r="M100" s="44">
        <v>88</v>
      </c>
      <c r="N100" s="44">
        <v>147</v>
      </c>
      <c r="O100" s="44">
        <v>177</v>
      </c>
      <c r="P100" s="44">
        <v>206</v>
      </c>
      <c r="Q100" s="44">
        <v>206</v>
      </c>
      <c r="R100" s="44">
        <v>12</v>
      </c>
      <c r="S100" s="44">
        <v>47</v>
      </c>
    </row>
    <row r="101" spans="1:19" ht="15.75" customHeight="1">
      <c r="A101" s="10"/>
      <c r="B101" s="10" t="s">
        <v>22</v>
      </c>
      <c r="C101" s="10" t="s">
        <v>196</v>
      </c>
      <c r="D101" s="72" t="s">
        <v>339</v>
      </c>
      <c r="E101" s="73"/>
      <c r="F101" s="10"/>
      <c r="G101" s="10"/>
      <c r="H101" s="10" t="s">
        <v>517</v>
      </c>
      <c r="I101" s="44">
        <v>41</v>
      </c>
      <c r="J101" s="44">
        <v>47</v>
      </c>
      <c r="K101" s="44">
        <v>47</v>
      </c>
      <c r="L101" s="44">
        <v>59</v>
      </c>
      <c r="M101" s="44">
        <v>124</v>
      </c>
      <c r="N101" s="44">
        <v>147</v>
      </c>
      <c r="O101" s="44">
        <v>177</v>
      </c>
      <c r="P101" s="44">
        <v>206</v>
      </c>
      <c r="Q101" s="44">
        <v>206</v>
      </c>
      <c r="R101" s="44">
        <v>12</v>
      </c>
      <c r="S101" s="44">
        <v>47</v>
      </c>
    </row>
    <row r="102" spans="1:19" ht="15.75" customHeight="1">
      <c r="A102" s="10"/>
      <c r="B102" s="10" t="s">
        <v>22</v>
      </c>
      <c r="C102" s="10" t="s">
        <v>198</v>
      </c>
      <c r="D102" s="72" t="s">
        <v>339</v>
      </c>
      <c r="E102" s="73"/>
      <c r="F102" s="10"/>
      <c r="G102" s="10"/>
      <c r="H102" s="10" t="s">
        <v>518</v>
      </c>
      <c r="I102" s="44">
        <v>35</v>
      </c>
      <c r="J102" s="44">
        <v>38</v>
      </c>
      <c r="K102" s="44">
        <v>40</v>
      </c>
      <c r="L102" s="44">
        <v>50</v>
      </c>
      <c r="M102" s="44">
        <v>88</v>
      </c>
      <c r="N102" s="44">
        <v>147</v>
      </c>
      <c r="O102" s="44">
        <v>177</v>
      </c>
      <c r="P102" s="44">
        <v>206</v>
      </c>
      <c r="Q102" s="44">
        <v>206</v>
      </c>
      <c r="R102" s="44">
        <v>12</v>
      </c>
      <c r="S102" s="44">
        <v>47</v>
      </c>
    </row>
    <row r="103" spans="1:19" ht="15.75" customHeight="1">
      <c r="A103" s="10"/>
      <c r="B103" s="10" t="s">
        <v>22</v>
      </c>
      <c r="C103" s="10" t="s">
        <v>200</v>
      </c>
      <c r="D103" s="72" t="s">
        <v>339</v>
      </c>
      <c r="E103" s="73"/>
      <c r="F103" s="10"/>
      <c r="G103" s="10"/>
      <c r="H103" s="10" t="s">
        <v>517</v>
      </c>
      <c r="I103" s="44">
        <v>35</v>
      </c>
      <c r="J103" s="44">
        <v>38</v>
      </c>
      <c r="K103" s="44">
        <v>40</v>
      </c>
      <c r="L103" s="44">
        <v>50</v>
      </c>
      <c r="M103" s="44">
        <v>88</v>
      </c>
      <c r="N103" s="44">
        <v>147</v>
      </c>
      <c r="O103" s="44">
        <v>177</v>
      </c>
      <c r="P103" s="44">
        <v>206</v>
      </c>
      <c r="Q103" s="44">
        <v>206</v>
      </c>
      <c r="R103" s="44">
        <v>12</v>
      </c>
      <c r="S103" s="44">
        <v>47</v>
      </c>
    </row>
    <row r="104" spans="1:19" ht="15.75" customHeight="1">
      <c r="A104" s="10"/>
      <c r="B104" s="10" t="s">
        <v>22</v>
      </c>
      <c r="C104" s="10" t="s">
        <v>202</v>
      </c>
      <c r="D104" s="72" t="s">
        <v>339</v>
      </c>
      <c r="E104" s="73"/>
      <c r="F104" s="10"/>
      <c r="G104" s="10"/>
      <c r="H104" s="10" t="s">
        <v>519</v>
      </c>
      <c r="I104" s="44">
        <v>35</v>
      </c>
      <c r="J104" s="44">
        <v>38</v>
      </c>
      <c r="K104" s="44">
        <v>40</v>
      </c>
      <c r="L104" s="44">
        <v>50</v>
      </c>
      <c r="M104" s="44">
        <v>88</v>
      </c>
      <c r="N104" s="44">
        <v>147</v>
      </c>
      <c r="O104" s="44">
        <v>177</v>
      </c>
      <c r="P104" s="44">
        <v>206</v>
      </c>
      <c r="Q104" s="44">
        <v>206</v>
      </c>
      <c r="R104" s="44">
        <v>12</v>
      </c>
      <c r="S104" s="44">
        <v>47</v>
      </c>
    </row>
    <row r="105" spans="1:19" ht="15.75" customHeight="1">
      <c r="A105" s="10"/>
      <c r="B105" s="10" t="s">
        <v>22</v>
      </c>
      <c r="C105" s="10" t="s">
        <v>204</v>
      </c>
      <c r="D105" s="72" t="s">
        <v>339</v>
      </c>
      <c r="E105" s="73"/>
      <c r="F105" s="10"/>
      <c r="G105" s="10"/>
      <c r="H105" s="10" t="s">
        <v>520</v>
      </c>
      <c r="I105" s="44">
        <v>35</v>
      </c>
      <c r="J105" s="44">
        <v>38</v>
      </c>
      <c r="K105" s="44">
        <v>40</v>
      </c>
      <c r="L105" s="44">
        <v>50</v>
      </c>
      <c r="M105" s="44">
        <v>88</v>
      </c>
      <c r="N105" s="44">
        <v>147</v>
      </c>
      <c r="O105" s="44">
        <v>177</v>
      </c>
      <c r="P105" s="44">
        <v>206</v>
      </c>
      <c r="Q105" s="44">
        <v>206</v>
      </c>
      <c r="R105" s="44">
        <v>12</v>
      </c>
      <c r="S105" s="44">
        <v>47</v>
      </c>
    </row>
    <row r="106" spans="1:19" ht="15.75" customHeight="1">
      <c r="A106" s="10"/>
      <c r="B106" s="10" t="s">
        <v>22</v>
      </c>
      <c r="C106" s="10" t="s">
        <v>206</v>
      </c>
      <c r="D106" s="72" t="s">
        <v>339</v>
      </c>
      <c r="E106" s="73"/>
      <c r="F106" s="10"/>
      <c r="G106" s="10"/>
      <c r="H106" s="10" t="s">
        <v>517</v>
      </c>
      <c r="I106" s="44">
        <v>35</v>
      </c>
      <c r="J106" s="44">
        <v>38</v>
      </c>
      <c r="K106" s="44">
        <v>40</v>
      </c>
      <c r="L106" s="44">
        <v>50</v>
      </c>
      <c r="M106" s="44">
        <v>88</v>
      </c>
      <c r="N106" s="44">
        <v>147</v>
      </c>
      <c r="O106" s="44">
        <v>177</v>
      </c>
      <c r="P106" s="44">
        <v>206</v>
      </c>
      <c r="Q106" s="44">
        <v>206</v>
      </c>
      <c r="R106" s="44">
        <v>12</v>
      </c>
      <c r="S106" s="44">
        <v>47</v>
      </c>
    </row>
    <row r="107" spans="1:19" ht="15.75" customHeight="1">
      <c r="A107" s="10"/>
      <c r="B107" s="10" t="s">
        <v>22</v>
      </c>
      <c r="C107" s="10" t="s">
        <v>208</v>
      </c>
      <c r="D107" s="72" t="s">
        <v>339</v>
      </c>
      <c r="E107" s="73"/>
      <c r="F107" s="10"/>
      <c r="G107" s="10"/>
      <c r="H107" s="10" t="s">
        <v>521</v>
      </c>
      <c r="I107" s="44">
        <v>35</v>
      </c>
      <c r="J107" s="44">
        <v>38</v>
      </c>
      <c r="K107" s="44">
        <v>40</v>
      </c>
      <c r="L107" s="44">
        <v>50</v>
      </c>
      <c r="M107" s="44">
        <v>88</v>
      </c>
      <c r="N107" s="44">
        <v>147</v>
      </c>
      <c r="O107" s="44">
        <v>177</v>
      </c>
      <c r="P107" s="44">
        <v>206</v>
      </c>
      <c r="Q107" s="44">
        <v>206</v>
      </c>
      <c r="R107" s="44">
        <v>12</v>
      </c>
      <c r="S107" s="44">
        <v>47</v>
      </c>
    </row>
    <row r="108" spans="1:19" ht="15.75" customHeight="1">
      <c r="A108" s="10"/>
      <c r="B108" s="10" t="s">
        <v>22</v>
      </c>
      <c r="C108" s="10" t="s">
        <v>210</v>
      </c>
      <c r="D108" s="72" t="s">
        <v>339</v>
      </c>
      <c r="E108" s="73"/>
      <c r="F108" s="10"/>
      <c r="G108" s="10"/>
      <c r="H108" s="10" t="s">
        <v>522</v>
      </c>
      <c r="I108" s="44">
        <v>41</v>
      </c>
      <c r="J108" s="44">
        <v>47</v>
      </c>
      <c r="K108" s="44">
        <v>47</v>
      </c>
      <c r="L108" s="44">
        <v>59</v>
      </c>
      <c r="M108" s="44">
        <v>124</v>
      </c>
      <c r="N108" s="44">
        <v>147</v>
      </c>
      <c r="O108" s="44">
        <v>177</v>
      </c>
      <c r="P108" s="44">
        <v>206</v>
      </c>
      <c r="Q108" s="44">
        <v>206</v>
      </c>
      <c r="R108" s="44">
        <v>12</v>
      </c>
      <c r="S108" s="44">
        <v>47</v>
      </c>
    </row>
    <row r="109" spans="1:19" ht="15.75" customHeight="1">
      <c r="A109" s="10"/>
      <c r="B109" s="10" t="s">
        <v>22</v>
      </c>
      <c r="C109" s="10" t="s">
        <v>212</v>
      </c>
      <c r="D109" s="72" t="s">
        <v>339</v>
      </c>
      <c r="E109" s="73"/>
      <c r="F109" s="10"/>
      <c r="G109" s="10"/>
      <c r="H109" s="10" t="s">
        <v>523</v>
      </c>
      <c r="I109" s="44">
        <v>35</v>
      </c>
      <c r="J109" s="44">
        <v>38</v>
      </c>
      <c r="K109" s="44">
        <v>40</v>
      </c>
      <c r="L109" s="44">
        <v>50</v>
      </c>
      <c r="M109" s="44">
        <v>88</v>
      </c>
      <c r="N109" s="44">
        <v>147</v>
      </c>
      <c r="O109" s="44">
        <v>177</v>
      </c>
      <c r="P109" s="44">
        <v>206</v>
      </c>
      <c r="Q109" s="44">
        <v>206</v>
      </c>
      <c r="R109" s="44">
        <v>12</v>
      </c>
      <c r="S109" s="44">
        <v>47</v>
      </c>
    </row>
    <row r="110" spans="1:19" ht="15.75" customHeight="1">
      <c r="A110" s="10"/>
      <c r="B110" s="10" t="s">
        <v>22</v>
      </c>
      <c r="C110" s="10" t="s">
        <v>214</v>
      </c>
      <c r="D110" s="72" t="s">
        <v>339</v>
      </c>
      <c r="E110" s="73"/>
      <c r="F110" s="10"/>
      <c r="G110" s="10"/>
      <c r="H110" s="10" t="s">
        <v>522</v>
      </c>
      <c r="I110" s="44">
        <v>35</v>
      </c>
      <c r="J110" s="44">
        <v>38</v>
      </c>
      <c r="K110" s="44">
        <v>40</v>
      </c>
      <c r="L110" s="44">
        <v>50</v>
      </c>
      <c r="M110" s="44">
        <v>88</v>
      </c>
      <c r="N110" s="44">
        <v>147</v>
      </c>
      <c r="O110" s="44">
        <v>177</v>
      </c>
      <c r="P110" s="44">
        <v>206</v>
      </c>
      <c r="Q110" s="44">
        <v>206</v>
      </c>
      <c r="R110" s="44">
        <v>12</v>
      </c>
      <c r="S110" s="44">
        <v>47</v>
      </c>
    </row>
    <row r="111" spans="1:19" ht="15.75" customHeight="1">
      <c r="A111" s="10"/>
      <c r="B111" s="10" t="s">
        <v>22</v>
      </c>
      <c r="C111" s="10" t="s">
        <v>216</v>
      </c>
      <c r="D111" s="72" t="s">
        <v>339</v>
      </c>
      <c r="E111" s="73"/>
      <c r="F111" s="10"/>
      <c r="G111" s="10"/>
      <c r="H111" s="10" t="s">
        <v>524</v>
      </c>
      <c r="I111" s="44">
        <v>35</v>
      </c>
      <c r="J111" s="44">
        <v>38</v>
      </c>
      <c r="K111" s="44">
        <v>40</v>
      </c>
      <c r="L111" s="44">
        <v>50</v>
      </c>
      <c r="M111" s="44">
        <v>88</v>
      </c>
      <c r="N111" s="44">
        <v>147</v>
      </c>
      <c r="O111" s="44">
        <v>177</v>
      </c>
      <c r="P111" s="44">
        <v>206</v>
      </c>
      <c r="Q111" s="44">
        <v>206</v>
      </c>
      <c r="R111" s="44">
        <v>12</v>
      </c>
      <c r="S111" s="44">
        <v>47</v>
      </c>
    </row>
    <row r="112" spans="1:19" ht="15.75" customHeight="1">
      <c r="A112" s="10"/>
      <c r="B112" s="10" t="s">
        <v>22</v>
      </c>
      <c r="C112" s="10" t="s">
        <v>218</v>
      </c>
      <c r="D112" s="72" t="s">
        <v>339</v>
      </c>
      <c r="E112" s="73"/>
      <c r="F112" s="10"/>
      <c r="G112" s="10"/>
      <c r="H112" s="10" t="s">
        <v>525</v>
      </c>
      <c r="I112" s="44">
        <v>35</v>
      </c>
      <c r="J112" s="44">
        <v>38</v>
      </c>
      <c r="K112" s="44">
        <v>40</v>
      </c>
      <c r="L112" s="44">
        <v>50</v>
      </c>
      <c r="M112" s="44">
        <v>88</v>
      </c>
      <c r="N112" s="44">
        <v>147</v>
      </c>
      <c r="O112" s="44">
        <v>177</v>
      </c>
      <c r="P112" s="44">
        <v>206</v>
      </c>
      <c r="Q112" s="44">
        <v>206</v>
      </c>
      <c r="R112" s="44">
        <v>12</v>
      </c>
      <c r="S112" s="44">
        <v>47</v>
      </c>
    </row>
    <row r="113" spans="1:19" ht="15.75" customHeight="1">
      <c r="A113" s="10"/>
      <c r="B113" s="10" t="s">
        <v>22</v>
      </c>
      <c r="C113" s="10" t="s">
        <v>220</v>
      </c>
      <c r="D113" s="72" t="s">
        <v>339</v>
      </c>
      <c r="E113" s="73"/>
      <c r="F113" s="10"/>
      <c r="G113" s="10"/>
      <c r="H113" s="10" t="s">
        <v>526</v>
      </c>
      <c r="I113" s="44">
        <v>35</v>
      </c>
      <c r="J113" s="44">
        <v>38</v>
      </c>
      <c r="K113" s="44">
        <v>40</v>
      </c>
      <c r="L113" s="44">
        <v>50</v>
      </c>
      <c r="M113" s="44">
        <v>88</v>
      </c>
      <c r="N113" s="44">
        <v>147</v>
      </c>
      <c r="O113" s="44">
        <v>177</v>
      </c>
      <c r="P113" s="44">
        <v>206</v>
      </c>
      <c r="Q113" s="44">
        <v>206</v>
      </c>
      <c r="R113" s="44">
        <v>12</v>
      </c>
      <c r="S113" s="44">
        <v>47</v>
      </c>
    </row>
    <row r="114" spans="1:19" ht="15.75" customHeight="1">
      <c r="A114" s="10"/>
      <c r="B114" s="10" t="s">
        <v>22</v>
      </c>
      <c r="C114" s="10" t="s">
        <v>222</v>
      </c>
      <c r="D114" s="72" t="s">
        <v>339</v>
      </c>
      <c r="E114" s="73"/>
      <c r="F114" s="10"/>
      <c r="G114" s="10"/>
      <c r="H114" s="10" t="s">
        <v>522</v>
      </c>
      <c r="I114" s="44">
        <v>35</v>
      </c>
      <c r="J114" s="44">
        <v>38</v>
      </c>
      <c r="K114" s="44">
        <v>40</v>
      </c>
      <c r="L114" s="44">
        <v>50</v>
      </c>
      <c r="M114" s="44">
        <v>88</v>
      </c>
      <c r="N114" s="44">
        <v>147</v>
      </c>
      <c r="O114" s="44">
        <v>177</v>
      </c>
      <c r="P114" s="44">
        <v>206</v>
      </c>
      <c r="Q114" s="44">
        <v>206</v>
      </c>
      <c r="R114" s="44">
        <v>12</v>
      </c>
      <c r="S114" s="44">
        <v>47</v>
      </c>
    </row>
    <row r="115" spans="1:19" ht="15.75" customHeight="1">
      <c r="A115" s="10"/>
      <c r="B115" s="10" t="s">
        <v>22</v>
      </c>
      <c r="C115" s="10" t="s">
        <v>224</v>
      </c>
      <c r="D115" s="72" t="s">
        <v>339</v>
      </c>
      <c r="E115" s="73"/>
      <c r="F115" s="10"/>
      <c r="G115" s="10"/>
      <c r="H115" s="10" t="s">
        <v>527</v>
      </c>
      <c r="I115" s="44">
        <v>41</v>
      </c>
      <c r="J115" s="44">
        <v>47</v>
      </c>
      <c r="K115" s="44">
        <v>47</v>
      </c>
      <c r="L115" s="44">
        <v>59</v>
      </c>
      <c r="M115" s="44">
        <v>124</v>
      </c>
      <c r="N115" s="44">
        <v>147</v>
      </c>
      <c r="O115" s="44">
        <v>177</v>
      </c>
      <c r="P115" s="44">
        <v>206</v>
      </c>
      <c r="Q115" s="44">
        <v>206</v>
      </c>
      <c r="R115" s="44">
        <v>12</v>
      </c>
      <c r="S115" s="44">
        <v>47</v>
      </c>
    </row>
    <row r="116" spans="1:19" ht="15.75" customHeight="1">
      <c r="A116" s="10"/>
      <c r="B116" s="10" t="s">
        <v>22</v>
      </c>
      <c r="C116" s="10" t="s">
        <v>226</v>
      </c>
      <c r="D116" s="72" t="s">
        <v>339</v>
      </c>
      <c r="E116" s="73"/>
      <c r="F116" s="10"/>
      <c r="G116" s="10"/>
      <c r="H116" s="10" t="s">
        <v>528</v>
      </c>
      <c r="I116" s="44">
        <v>35</v>
      </c>
      <c r="J116" s="44">
        <v>38</v>
      </c>
      <c r="K116" s="44">
        <v>40</v>
      </c>
      <c r="L116" s="44">
        <v>50</v>
      </c>
      <c r="M116" s="44">
        <v>88</v>
      </c>
      <c r="N116" s="44">
        <v>147</v>
      </c>
      <c r="O116" s="44">
        <v>177</v>
      </c>
      <c r="P116" s="44">
        <v>206</v>
      </c>
      <c r="Q116" s="44">
        <v>206</v>
      </c>
      <c r="R116" s="44">
        <v>12</v>
      </c>
      <c r="S116" s="44">
        <v>47</v>
      </c>
    </row>
    <row r="117" spans="1:19" ht="15.75" customHeight="1">
      <c r="A117" s="10"/>
      <c r="B117" s="10" t="s">
        <v>22</v>
      </c>
      <c r="C117" s="10" t="s">
        <v>228</v>
      </c>
      <c r="D117" s="72" t="s">
        <v>339</v>
      </c>
      <c r="E117" s="73"/>
      <c r="F117" s="10"/>
      <c r="G117" s="10"/>
      <c r="H117" s="10" t="s">
        <v>527</v>
      </c>
      <c r="I117" s="44">
        <v>35</v>
      </c>
      <c r="J117" s="44">
        <v>38</v>
      </c>
      <c r="K117" s="44">
        <v>40</v>
      </c>
      <c r="L117" s="44">
        <v>50</v>
      </c>
      <c r="M117" s="44">
        <v>88</v>
      </c>
      <c r="N117" s="44">
        <v>147</v>
      </c>
      <c r="O117" s="44">
        <v>177</v>
      </c>
      <c r="P117" s="44">
        <v>206</v>
      </c>
      <c r="Q117" s="44">
        <v>206</v>
      </c>
      <c r="R117" s="44">
        <v>12</v>
      </c>
      <c r="S117" s="44">
        <v>47</v>
      </c>
    </row>
    <row r="118" spans="1:19" ht="15.75" customHeight="1">
      <c r="A118" s="10"/>
      <c r="B118" s="10" t="s">
        <v>22</v>
      </c>
      <c r="C118" s="10" t="s">
        <v>230</v>
      </c>
      <c r="D118" s="72" t="s">
        <v>339</v>
      </c>
      <c r="E118" s="73"/>
      <c r="F118" s="10"/>
      <c r="G118" s="10"/>
      <c r="H118" s="10" t="s">
        <v>529</v>
      </c>
      <c r="I118" s="44">
        <v>35</v>
      </c>
      <c r="J118" s="44">
        <v>38</v>
      </c>
      <c r="K118" s="44">
        <v>40</v>
      </c>
      <c r="L118" s="44">
        <v>50</v>
      </c>
      <c r="M118" s="44">
        <v>88</v>
      </c>
      <c r="N118" s="44">
        <v>147</v>
      </c>
      <c r="O118" s="44">
        <v>177</v>
      </c>
      <c r="P118" s="44">
        <v>206</v>
      </c>
      <c r="Q118" s="44">
        <v>206</v>
      </c>
      <c r="R118" s="44">
        <v>12</v>
      </c>
      <c r="S118" s="44">
        <v>47</v>
      </c>
    </row>
    <row r="119" spans="1:19" ht="15.75" customHeight="1">
      <c r="A119" s="10"/>
      <c r="B119" s="10" t="s">
        <v>22</v>
      </c>
      <c r="C119" s="10" t="s">
        <v>232</v>
      </c>
      <c r="D119" s="72" t="s">
        <v>339</v>
      </c>
      <c r="E119" s="73"/>
      <c r="F119" s="10"/>
      <c r="G119" s="10"/>
      <c r="H119" s="10" t="s">
        <v>527</v>
      </c>
      <c r="I119" s="44">
        <v>35</v>
      </c>
      <c r="J119" s="44">
        <v>38</v>
      </c>
      <c r="K119" s="44">
        <v>40</v>
      </c>
      <c r="L119" s="44">
        <v>50</v>
      </c>
      <c r="M119" s="44">
        <v>88</v>
      </c>
      <c r="N119" s="44">
        <v>147</v>
      </c>
      <c r="O119" s="44">
        <v>177</v>
      </c>
      <c r="P119" s="44">
        <v>206</v>
      </c>
      <c r="Q119" s="44">
        <v>206</v>
      </c>
      <c r="R119" s="44">
        <v>12</v>
      </c>
      <c r="S119" s="44">
        <v>47</v>
      </c>
    </row>
    <row r="120" spans="1:19" ht="15.75" customHeight="1">
      <c r="A120" s="10"/>
      <c r="B120" s="10" t="s">
        <v>22</v>
      </c>
      <c r="C120" s="10" t="s">
        <v>234</v>
      </c>
      <c r="D120" s="72" t="s">
        <v>339</v>
      </c>
      <c r="E120" s="73"/>
      <c r="F120" s="10"/>
      <c r="G120" s="10"/>
      <c r="H120" s="10" t="s">
        <v>530</v>
      </c>
      <c r="I120" s="44">
        <v>35</v>
      </c>
      <c r="J120" s="44">
        <v>38</v>
      </c>
      <c r="K120" s="44">
        <v>40</v>
      </c>
      <c r="L120" s="44">
        <v>50</v>
      </c>
      <c r="M120" s="44">
        <v>88</v>
      </c>
      <c r="N120" s="44">
        <v>147</v>
      </c>
      <c r="O120" s="44">
        <v>177</v>
      </c>
      <c r="P120" s="44">
        <v>206</v>
      </c>
      <c r="Q120" s="44">
        <v>206</v>
      </c>
      <c r="R120" s="44">
        <v>12</v>
      </c>
      <c r="S120" s="44">
        <v>47</v>
      </c>
    </row>
    <row r="121" spans="1:19" ht="15.75" customHeight="1">
      <c r="A121" s="10"/>
      <c r="B121" s="10" t="s">
        <v>22</v>
      </c>
      <c r="C121" s="10" t="s">
        <v>236</v>
      </c>
      <c r="D121" s="72" t="s">
        <v>339</v>
      </c>
      <c r="E121" s="73"/>
      <c r="F121" s="10"/>
      <c r="G121" s="10"/>
      <c r="H121" s="10" t="s">
        <v>527</v>
      </c>
      <c r="I121" s="44">
        <v>35</v>
      </c>
      <c r="J121" s="44">
        <v>38</v>
      </c>
      <c r="K121" s="44">
        <v>40</v>
      </c>
      <c r="L121" s="44">
        <v>50</v>
      </c>
      <c r="M121" s="44">
        <v>88</v>
      </c>
      <c r="N121" s="44">
        <v>147</v>
      </c>
      <c r="O121" s="44">
        <v>177</v>
      </c>
      <c r="P121" s="44">
        <v>206</v>
      </c>
      <c r="Q121" s="44">
        <v>206</v>
      </c>
      <c r="R121" s="44">
        <v>12</v>
      </c>
      <c r="S121" s="44">
        <v>47</v>
      </c>
    </row>
    <row r="122" spans="1:19" ht="15.75" customHeight="1">
      <c r="A122" s="10"/>
      <c r="B122" s="10" t="s">
        <v>22</v>
      </c>
      <c r="C122" s="10" t="s">
        <v>238</v>
      </c>
      <c r="D122" s="72" t="s">
        <v>339</v>
      </c>
      <c r="E122" s="73"/>
      <c r="F122" s="10"/>
      <c r="G122" s="10"/>
      <c r="H122" s="10" t="s">
        <v>531</v>
      </c>
      <c r="I122" s="44">
        <v>35</v>
      </c>
      <c r="J122" s="44">
        <v>38</v>
      </c>
      <c r="K122" s="44">
        <v>40</v>
      </c>
      <c r="L122" s="44">
        <v>50</v>
      </c>
      <c r="M122" s="44">
        <v>88</v>
      </c>
      <c r="N122" s="44">
        <v>147</v>
      </c>
      <c r="O122" s="44">
        <v>177</v>
      </c>
      <c r="P122" s="44">
        <v>206</v>
      </c>
      <c r="Q122" s="44">
        <v>206</v>
      </c>
      <c r="R122" s="44">
        <v>12</v>
      </c>
      <c r="S122" s="44">
        <v>47</v>
      </c>
    </row>
    <row r="123" spans="1:19" ht="15.75" customHeight="1">
      <c r="A123" s="10"/>
      <c r="B123" s="10" t="s">
        <v>22</v>
      </c>
      <c r="C123" s="10" t="s">
        <v>240</v>
      </c>
      <c r="D123" s="72" t="s">
        <v>339</v>
      </c>
      <c r="E123" s="73"/>
      <c r="F123" s="10"/>
      <c r="G123" s="10"/>
      <c r="H123" s="10" t="s">
        <v>531</v>
      </c>
      <c r="I123" s="44">
        <v>35</v>
      </c>
      <c r="J123" s="44">
        <v>38</v>
      </c>
      <c r="K123" s="44">
        <v>40</v>
      </c>
      <c r="L123" s="44">
        <v>50</v>
      </c>
      <c r="M123" s="44">
        <v>88</v>
      </c>
      <c r="N123" s="44">
        <v>147</v>
      </c>
      <c r="O123" s="44">
        <v>177</v>
      </c>
      <c r="P123" s="44">
        <v>206</v>
      </c>
      <c r="Q123" s="44">
        <v>206</v>
      </c>
      <c r="R123" s="44">
        <v>12</v>
      </c>
      <c r="S123" s="44">
        <v>47</v>
      </c>
    </row>
    <row r="124" spans="1:19" ht="15.75" customHeight="1">
      <c r="A124" s="10"/>
      <c r="B124" s="10" t="s">
        <v>22</v>
      </c>
      <c r="C124" s="10" t="s">
        <v>242</v>
      </c>
      <c r="D124" s="72" t="s">
        <v>339</v>
      </c>
      <c r="E124" s="73"/>
      <c r="F124" s="10"/>
      <c r="G124" s="10"/>
      <c r="H124" s="10" t="s">
        <v>532</v>
      </c>
      <c r="I124" s="44">
        <v>35</v>
      </c>
      <c r="J124" s="44">
        <v>38</v>
      </c>
      <c r="K124" s="44">
        <v>40</v>
      </c>
      <c r="L124" s="44">
        <v>50</v>
      </c>
      <c r="M124" s="44">
        <v>88</v>
      </c>
      <c r="N124" s="44">
        <v>147</v>
      </c>
      <c r="O124" s="44">
        <v>177</v>
      </c>
      <c r="P124" s="44">
        <v>206</v>
      </c>
      <c r="Q124" s="44">
        <v>206</v>
      </c>
      <c r="R124" s="44">
        <v>12</v>
      </c>
      <c r="S124" s="44">
        <v>47</v>
      </c>
    </row>
    <row r="125" spans="1:19" ht="15.75" customHeight="1">
      <c r="A125" s="10"/>
      <c r="B125" s="10" t="s">
        <v>22</v>
      </c>
      <c r="C125" s="10" t="s">
        <v>244</v>
      </c>
      <c r="D125" s="72" t="s">
        <v>339</v>
      </c>
      <c r="E125" s="73"/>
      <c r="F125" s="10"/>
      <c r="G125" s="10"/>
      <c r="H125" s="10" t="s">
        <v>533</v>
      </c>
      <c r="I125" s="44">
        <v>35</v>
      </c>
      <c r="J125" s="44">
        <v>38</v>
      </c>
      <c r="K125" s="44">
        <v>40</v>
      </c>
      <c r="L125" s="44">
        <v>50</v>
      </c>
      <c r="M125" s="44">
        <v>88</v>
      </c>
      <c r="N125" s="44">
        <v>147</v>
      </c>
      <c r="O125" s="44">
        <v>177</v>
      </c>
      <c r="P125" s="44">
        <v>206</v>
      </c>
      <c r="Q125" s="44">
        <v>206</v>
      </c>
      <c r="R125" s="44">
        <v>12</v>
      </c>
      <c r="S125" s="44">
        <v>47</v>
      </c>
    </row>
    <row r="126" spans="1:19" ht="15.75" customHeight="1">
      <c r="A126" s="10"/>
      <c r="B126" s="10" t="s">
        <v>22</v>
      </c>
      <c r="C126" s="10" t="s">
        <v>246</v>
      </c>
      <c r="D126" s="72" t="s">
        <v>339</v>
      </c>
      <c r="E126" s="73"/>
      <c r="F126" s="10"/>
      <c r="G126" s="10"/>
      <c r="H126" s="10" t="s">
        <v>531</v>
      </c>
      <c r="I126" s="44">
        <v>35</v>
      </c>
      <c r="J126" s="44">
        <v>38</v>
      </c>
      <c r="K126" s="44">
        <v>40</v>
      </c>
      <c r="L126" s="44">
        <v>50</v>
      </c>
      <c r="M126" s="44">
        <v>88</v>
      </c>
      <c r="N126" s="44">
        <v>147</v>
      </c>
      <c r="O126" s="44">
        <v>177</v>
      </c>
      <c r="P126" s="44">
        <v>206</v>
      </c>
      <c r="Q126" s="44">
        <v>206</v>
      </c>
      <c r="R126" s="44">
        <v>12</v>
      </c>
      <c r="S126" s="44">
        <v>47</v>
      </c>
    </row>
    <row r="127" spans="1:19" ht="15.75" customHeight="1">
      <c r="A127" s="10"/>
      <c r="B127" s="10" t="s">
        <v>22</v>
      </c>
      <c r="C127" s="10" t="s">
        <v>248</v>
      </c>
      <c r="D127" s="72" t="s">
        <v>339</v>
      </c>
      <c r="E127" s="73"/>
      <c r="F127" s="10"/>
      <c r="G127" s="10"/>
      <c r="H127" s="10" t="s">
        <v>460</v>
      </c>
      <c r="I127" s="44">
        <v>35</v>
      </c>
      <c r="J127" s="44">
        <v>38</v>
      </c>
      <c r="K127" s="44">
        <v>40</v>
      </c>
      <c r="L127" s="44">
        <v>50</v>
      </c>
      <c r="M127" s="44">
        <v>88</v>
      </c>
      <c r="N127" s="44">
        <v>147</v>
      </c>
      <c r="O127" s="44">
        <v>177</v>
      </c>
      <c r="P127" s="44">
        <v>206</v>
      </c>
      <c r="Q127" s="44">
        <v>206</v>
      </c>
      <c r="R127" s="44">
        <v>12</v>
      </c>
      <c r="S127" s="44">
        <v>47</v>
      </c>
    </row>
    <row r="128" spans="1:19" ht="15.75" customHeight="1">
      <c r="A128" s="10"/>
      <c r="B128" s="10" t="s">
        <v>22</v>
      </c>
      <c r="C128" s="10" t="s">
        <v>250</v>
      </c>
      <c r="D128" s="72" t="s">
        <v>339</v>
      </c>
      <c r="E128" s="73"/>
      <c r="F128" s="10"/>
      <c r="G128" s="10"/>
      <c r="H128" s="10" t="s">
        <v>534</v>
      </c>
      <c r="I128" s="44">
        <v>35</v>
      </c>
      <c r="J128" s="44">
        <v>38</v>
      </c>
      <c r="K128" s="44">
        <v>40</v>
      </c>
      <c r="L128" s="44">
        <v>50</v>
      </c>
      <c r="M128" s="44">
        <v>88</v>
      </c>
      <c r="N128" s="44">
        <v>147</v>
      </c>
      <c r="O128" s="44">
        <v>177</v>
      </c>
      <c r="P128" s="44">
        <v>206</v>
      </c>
      <c r="Q128" s="44">
        <v>206</v>
      </c>
      <c r="R128" s="44">
        <v>12</v>
      </c>
      <c r="S128" s="44">
        <v>47</v>
      </c>
    </row>
    <row r="129" spans="1:19" ht="15.75" customHeight="1">
      <c r="A129" s="10"/>
      <c r="B129" s="10" t="s">
        <v>22</v>
      </c>
      <c r="C129" s="10" t="s">
        <v>252</v>
      </c>
      <c r="D129" s="72" t="s">
        <v>339</v>
      </c>
      <c r="E129" s="73"/>
      <c r="F129" s="10"/>
      <c r="G129" s="10"/>
      <c r="H129" s="10" t="s">
        <v>464</v>
      </c>
      <c r="I129" s="44">
        <v>35</v>
      </c>
      <c r="J129" s="44">
        <v>38</v>
      </c>
      <c r="K129" s="44">
        <v>40</v>
      </c>
      <c r="L129" s="44">
        <v>50</v>
      </c>
      <c r="M129" s="44">
        <v>88</v>
      </c>
      <c r="N129" s="44">
        <v>147</v>
      </c>
      <c r="O129" s="44">
        <v>177</v>
      </c>
      <c r="P129" s="44">
        <v>206</v>
      </c>
      <c r="Q129" s="44">
        <v>206</v>
      </c>
      <c r="R129" s="44">
        <v>12</v>
      </c>
      <c r="S129" s="44">
        <v>47</v>
      </c>
    </row>
    <row r="130" spans="1:19" ht="15.75" customHeight="1">
      <c r="A130" s="10"/>
      <c r="B130" s="10" t="s">
        <v>22</v>
      </c>
      <c r="C130" s="10" t="s">
        <v>254</v>
      </c>
      <c r="D130" s="72" t="s">
        <v>339</v>
      </c>
      <c r="E130" s="73"/>
      <c r="F130" s="10"/>
      <c r="G130" s="10"/>
      <c r="H130" s="10" t="s">
        <v>535</v>
      </c>
      <c r="I130" s="44">
        <v>35</v>
      </c>
      <c r="J130" s="44">
        <v>38</v>
      </c>
      <c r="K130" s="44">
        <v>40</v>
      </c>
      <c r="L130" s="44">
        <v>50</v>
      </c>
      <c r="M130" s="44">
        <v>88</v>
      </c>
      <c r="N130" s="44">
        <v>147</v>
      </c>
      <c r="O130" s="44">
        <v>177</v>
      </c>
      <c r="P130" s="44">
        <v>206</v>
      </c>
      <c r="Q130" s="44">
        <v>206</v>
      </c>
      <c r="R130" s="44">
        <v>12</v>
      </c>
      <c r="S130" s="44">
        <v>47</v>
      </c>
    </row>
    <row r="131" spans="1:19" ht="15.75" customHeight="1">
      <c r="A131" s="10"/>
      <c r="B131" s="10" t="s">
        <v>22</v>
      </c>
      <c r="C131" s="10" t="s">
        <v>256</v>
      </c>
      <c r="D131" s="72" t="s">
        <v>339</v>
      </c>
      <c r="E131" s="73"/>
      <c r="F131" s="10"/>
      <c r="G131" s="10"/>
      <c r="H131" s="10" t="s">
        <v>535</v>
      </c>
      <c r="I131" s="44">
        <v>35</v>
      </c>
      <c r="J131" s="44">
        <v>38</v>
      </c>
      <c r="K131" s="44">
        <v>40</v>
      </c>
      <c r="L131" s="44">
        <v>50</v>
      </c>
      <c r="M131" s="44">
        <v>88</v>
      </c>
      <c r="N131" s="44">
        <v>147</v>
      </c>
      <c r="O131" s="44">
        <v>177</v>
      </c>
      <c r="P131" s="44">
        <v>206</v>
      </c>
      <c r="Q131" s="44">
        <v>206</v>
      </c>
      <c r="R131" s="44">
        <v>12</v>
      </c>
      <c r="S131" s="44">
        <v>47</v>
      </c>
    </row>
    <row r="132" spans="1:19" ht="15.75" customHeight="1">
      <c r="A132" s="10"/>
      <c r="B132" s="10" t="s">
        <v>22</v>
      </c>
      <c r="C132" s="10" t="s">
        <v>258</v>
      </c>
      <c r="D132" s="72" t="s">
        <v>339</v>
      </c>
      <c r="E132" s="73"/>
      <c r="F132" s="10"/>
      <c r="G132" s="10"/>
      <c r="H132" s="10" t="s">
        <v>536</v>
      </c>
      <c r="I132" s="44">
        <v>35</v>
      </c>
      <c r="J132" s="44">
        <v>38</v>
      </c>
      <c r="K132" s="44">
        <v>40</v>
      </c>
      <c r="L132" s="44">
        <v>50</v>
      </c>
      <c r="M132" s="44">
        <v>88</v>
      </c>
      <c r="N132" s="44">
        <v>147</v>
      </c>
      <c r="O132" s="44">
        <v>177</v>
      </c>
      <c r="P132" s="44">
        <v>206</v>
      </c>
      <c r="Q132" s="44">
        <v>206</v>
      </c>
      <c r="R132" s="44">
        <v>12</v>
      </c>
      <c r="S132" s="44">
        <v>47</v>
      </c>
    </row>
    <row r="133" spans="1:19" ht="15.75" customHeight="1">
      <c r="A133" s="10"/>
      <c r="B133" s="10" t="s">
        <v>22</v>
      </c>
      <c r="C133" s="10" t="s">
        <v>260</v>
      </c>
      <c r="D133" s="72" t="s">
        <v>339</v>
      </c>
      <c r="E133" s="73"/>
      <c r="F133" s="10"/>
      <c r="G133" s="10"/>
      <c r="H133" s="10" t="s">
        <v>464</v>
      </c>
      <c r="I133" s="44">
        <v>41</v>
      </c>
      <c r="J133" s="44">
        <v>47</v>
      </c>
      <c r="K133" s="44">
        <v>47</v>
      </c>
      <c r="L133" s="44">
        <v>59</v>
      </c>
      <c r="M133" s="44">
        <v>88</v>
      </c>
      <c r="N133" s="44">
        <v>147</v>
      </c>
      <c r="O133" s="44">
        <v>177</v>
      </c>
      <c r="P133" s="44">
        <v>206</v>
      </c>
      <c r="Q133" s="44">
        <v>206</v>
      </c>
      <c r="R133" s="44">
        <v>12</v>
      </c>
      <c r="S133" s="44">
        <v>47</v>
      </c>
    </row>
    <row r="134" spans="1:19" ht="15.75" customHeight="1">
      <c r="A134" s="10"/>
      <c r="B134" s="10" t="s">
        <v>22</v>
      </c>
      <c r="C134" s="10" t="s">
        <v>262</v>
      </c>
      <c r="D134" s="72" t="s">
        <v>339</v>
      </c>
      <c r="E134" s="73"/>
      <c r="F134" s="10"/>
      <c r="G134" s="10"/>
      <c r="H134" s="10" t="s">
        <v>464</v>
      </c>
      <c r="I134" s="44">
        <v>35</v>
      </c>
      <c r="J134" s="44">
        <v>38</v>
      </c>
      <c r="K134" s="44">
        <v>40</v>
      </c>
      <c r="L134" s="44">
        <v>50</v>
      </c>
      <c r="M134" s="44">
        <v>88</v>
      </c>
      <c r="N134" s="44">
        <v>147</v>
      </c>
      <c r="O134" s="44">
        <v>177</v>
      </c>
      <c r="P134" s="44">
        <v>206</v>
      </c>
      <c r="Q134" s="44">
        <v>206</v>
      </c>
      <c r="R134" s="44">
        <v>12</v>
      </c>
      <c r="S134" s="44">
        <v>47</v>
      </c>
    </row>
    <row r="135" spans="1:19" ht="15.75" customHeight="1">
      <c r="A135" s="10"/>
      <c r="B135" s="10" t="s">
        <v>22</v>
      </c>
      <c r="C135" s="10" t="s">
        <v>264</v>
      </c>
      <c r="D135" s="72" t="s">
        <v>339</v>
      </c>
      <c r="E135" s="73"/>
      <c r="F135" s="10"/>
      <c r="G135" s="10"/>
      <c r="H135" s="10"/>
      <c r="I135" s="44">
        <v>41</v>
      </c>
      <c r="J135" s="44">
        <v>47</v>
      </c>
      <c r="K135" s="44">
        <v>47</v>
      </c>
      <c r="L135" s="44">
        <v>59</v>
      </c>
      <c r="M135" s="44">
        <v>124</v>
      </c>
      <c r="N135" s="44">
        <v>147</v>
      </c>
      <c r="O135" s="44">
        <v>177</v>
      </c>
      <c r="P135" s="44">
        <v>206</v>
      </c>
      <c r="Q135" s="44">
        <v>206</v>
      </c>
      <c r="R135" s="44">
        <v>12</v>
      </c>
      <c r="S135" s="44">
        <v>47</v>
      </c>
    </row>
    <row r="136" spans="1:19" ht="15.75" customHeight="1">
      <c r="A136" s="10"/>
      <c r="B136" s="10" t="s">
        <v>22</v>
      </c>
      <c r="C136" s="10" t="s">
        <v>266</v>
      </c>
      <c r="D136" s="72" t="s">
        <v>339</v>
      </c>
      <c r="E136" s="73"/>
      <c r="F136" s="10"/>
      <c r="G136" s="10"/>
      <c r="H136" s="10" t="s">
        <v>536</v>
      </c>
      <c r="I136" s="44">
        <v>41</v>
      </c>
      <c r="J136" s="44">
        <v>47</v>
      </c>
      <c r="K136" s="44">
        <v>47</v>
      </c>
      <c r="L136" s="44">
        <v>59</v>
      </c>
      <c r="M136" s="44">
        <v>124</v>
      </c>
      <c r="N136" s="44">
        <v>147</v>
      </c>
      <c r="O136" s="44">
        <v>177</v>
      </c>
      <c r="P136" s="44">
        <v>206</v>
      </c>
      <c r="Q136" s="44">
        <v>206</v>
      </c>
      <c r="R136" s="44">
        <v>12</v>
      </c>
      <c r="S136" s="44">
        <v>47</v>
      </c>
    </row>
    <row r="137" spans="1:19" ht="15.75" customHeight="1">
      <c r="A137" s="10"/>
      <c r="B137" s="10" t="s">
        <v>22</v>
      </c>
      <c r="C137" s="10" t="s">
        <v>268</v>
      </c>
      <c r="D137" s="72" t="s">
        <v>339</v>
      </c>
      <c r="E137" s="73"/>
      <c r="F137" s="10"/>
      <c r="G137" s="10"/>
      <c r="H137" s="10" t="s">
        <v>536</v>
      </c>
      <c r="I137" s="44">
        <v>35</v>
      </c>
      <c r="J137" s="44">
        <v>38</v>
      </c>
      <c r="K137" s="44">
        <v>40</v>
      </c>
      <c r="L137" s="44">
        <v>50</v>
      </c>
      <c r="M137" s="44">
        <v>88</v>
      </c>
      <c r="N137" s="44">
        <v>147</v>
      </c>
      <c r="O137" s="44">
        <v>177</v>
      </c>
      <c r="P137" s="44">
        <v>206</v>
      </c>
      <c r="Q137" s="44">
        <v>206</v>
      </c>
      <c r="R137" s="44">
        <v>12</v>
      </c>
      <c r="S137" s="44">
        <v>47</v>
      </c>
    </row>
    <row r="138" spans="1:19" ht="15.75" customHeight="1">
      <c r="A138" s="10"/>
      <c r="B138" s="10" t="s">
        <v>22</v>
      </c>
      <c r="C138" s="10" t="s">
        <v>270</v>
      </c>
      <c r="D138" s="72" t="s">
        <v>339</v>
      </c>
      <c r="E138" s="73"/>
      <c r="F138" s="10"/>
      <c r="G138" s="10"/>
      <c r="H138" s="10"/>
      <c r="I138" s="44">
        <v>41</v>
      </c>
      <c r="J138" s="44">
        <v>47</v>
      </c>
      <c r="K138" s="44">
        <v>47</v>
      </c>
      <c r="L138" s="44">
        <v>59</v>
      </c>
      <c r="M138" s="44">
        <v>124</v>
      </c>
      <c r="N138" s="44">
        <v>147</v>
      </c>
      <c r="O138" s="44">
        <v>177</v>
      </c>
      <c r="P138" s="44">
        <v>206</v>
      </c>
      <c r="Q138" s="44">
        <v>206</v>
      </c>
      <c r="R138" s="44">
        <v>12</v>
      </c>
      <c r="S138" s="44">
        <v>47</v>
      </c>
    </row>
    <row r="139" spans="1:19" ht="15.75" customHeight="1">
      <c r="A139" s="10"/>
      <c r="B139" s="10" t="s">
        <v>22</v>
      </c>
      <c r="C139" s="10" t="s">
        <v>272</v>
      </c>
      <c r="D139" s="72" t="s">
        <v>339</v>
      </c>
      <c r="E139" s="73"/>
      <c r="F139" s="10"/>
      <c r="G139" s="10"/>
      <c r="H139" s="10"/>
      <c r="I139" s="44">
        <v>35</v>
      </c>
      <c r="J139" s="44">
        <v>38</v>
      </c>
      <c r="K139" s="44">
        <v>40</v>
      </c>
      <c r="L139" s="44">
        <v>50</v>
      </c>
      <c r="M139" s="44">
        <v>88</v>
      </c>
      <c r="N139" s="44">
        <v>147</v>
      </c>
      <c r="O139" s="44">
        <v>177</v>
      </c>
      <c r="P139" s="44">
        <v>206</v>
      </c>
      <c r="Q139" s="44">
        <v>206</v>
      </c>
      <c r="R139" s="44">
        <v>12</v>
      </c>
      <c r="S139" s="44">
        <v>47</v>
      </c>
    </row>
    <row r="140" spans="1:19" ht="15.75" customHeight="1">
      <c r="A140" s="10"/>
      <c r="B140" s="10" t="s">
        <v>21</v>
      </c>
      <c r="C140" s="10" t="s">
        <v>274</v>
      </c>
      <c r="D140" s="72" t="s">
        <v>339</v>
      </c>
      <c r="E140" s="73"/>
      <c r="F140" s="10"/>
      <c r="G140" s="10"/>
      <c r="H140" s="10" t="s">
        <v>522</v>
      </c>
      <c r="I140" s="44">
        <v>30</v>
      </c>
      <c r="J140" s="44">
        <v>30</v>
      </c>
      <c r="K140" s="44">
        <v>36</v>
      </c>
      <c r="L140" s="44">
        <v>48</v>
      </c>
      <c r="M140" s="44">
        <v>124</v>
      </c>
      <c r="N140" s="44">
        <v>147</v>
      </c>
      <c r="O140" s="44">
        <v>177</v>
      </c>
      <c r="P140" s="44">
        <v>206</v>
      </c>
      <c r="Q140" s="44">
        <v>206</v>
      </c>
      <c r="R140" s="44">
        <v>12</v>
      </c>
      <c r="S140" s="44">
        <v>47</v>
      </c>
    </row>
    <row r="141" spans="1:19" ht="15.75" customHeight="1">
      <c r="A141" s="10"/>
      <c r="B141" s="10" t="s">
        <v>21</v>
      </c>
      <c r="C141" s="10" t="s">
        <v>276</v>
      </c>
      <c r="D141" s="72" t="s">
        <v>339</v>
      </c>
      <c r="E141" s="73"/>
      <c r="F141" s="10"/>
      <c r="G141" s="10"/>
      <c r="H141" s="10" t="s">
        <v>537</v>
      </c>
      <c r="I141" s="44">
        <v>30</v>
      </c>
      <c r="J141" s="44">
        <v>30</v>
      </c>
      <c r="K141" s="44">
        <v>36</v>
      </c>
      <c r="L141" s="44">
        <v>48</v>
      </c>
      <c r="M141" s="44">
        <v>124</v>
      </c>
      <c r="N141" s="44">
        <v>147</v>
      </c>
      <c r="O141" s="44">
        <v>177</v>
      </c>
      <c r="P141" s="44">
        <v>206</v>
      </c>
      <c r="Q141" s="44">
        <v>206</v>
      </c>
      <c r="R141" s="44">
        <v>12</v>
      </c>
      <c r="S141" s="44">
        <v>47</v>
      </c>
    </row>
    <row r="142" spans="1:19" ht="15.75" customHeight="1">
      <c r="A142" s="10"/>
      <c r="B142" s="10" t="s">
        <v>22</v>
      </c>
      <c r="C142" s="10" t="s">
        <v>278</v>
      </c>
      <c r="D142" s="72" t="s">
        <v>339</v>
      </c>
      <c r="E142" s="73"/>
      <c r="F142" s="10"/>
      <c r="G142" s="10"/>
      <c r="H142" s="10" t="s">
        <v>538</v>
      </c>
      <c r="I142" s="44">
        <v>12</v>
      </c>
      <c r="J142" s="44">
        <v>18</v>
      </c>
      <c r="K142" s="44">
        <v>12</v>
      </c>
      <c r="L142" s="44">
        <v>24</v>
      </c>
      <c r="M142" s="44">
        <v>35</v>
      </c>
      <c r="N142" s="44">
        <v>47</v>
      </c>
      <c r="O142" s="44">
        <v>59</v>
      </c>
      <c r="P142" s="44">
        <v>74</v>
      </c>
      <c r="Q142" s="44">
        <v>74</v>
      </c>
      <c r="R142" s="44">
        <v>12</v>
      </c>
      <c r="S142" s="44">
        <v>24</v>
      </c>
    </row>
    <row r="143" spans="1:19" ht="15.75" customHeight="1">
      <c r="A143" s="10"/>
      <c r="B143" s="10" t="s">
        <v>22</v>
      </c>
      <c r="C143" s="10" t="s">
        <v>280</v>
      </c>
      <c r="D143" s="72" t="s">
        <v>339</v>
      </c>
      <c r="E143" s="73"/>
      <c r="F143" s="10"/>
      <c r="G143" s="10"/>
      <c r="H143" s="10" t="s">
        <v>539</v>
      </c>
      <c r="I143" s="44">
        <v>12</v>
      </c>
      <c r="J143" s="44">
        <v>18</v>
      </c>
      <c r="K143" s="44">
        <v>12</v>
      </c>
      <c r="L143" s="44">
        <v>24</v>
      </c>
      <c r="M143" s="44">
        <v>35</v>
      </c>
      <c r="N143" s="44">
        <v>47</v>
      </c>
      <c r="O143" s="44">
        <v>59</v>
      </c>
      <c r="P143" s="44">
        <v>74</v>
      </c>
      <c r="Q143" s="44">
        <v>74</v>
      </c>
      <c r="R143" s="44">
        <v>12</v>
      </c>
      <c r="S143" s="44">
        <v>24</v>
      </c>
    </row>
    <row r="144" spans="1:19" ht="15.75" customHeight="1">
      <c r="A144" s="23"/>
      <c r="B144" s="29" t="s">
        <v>22</v>
      </c>
      <c r="C144" s="29" t="s">
        <v>285</v>
      </c>
      <c r="D144" s="45" t="s">
        <v>36</v>
      </c>
      <c r="E144" s="26"/>
      <c r="F144" s="26"/>
      <c r="G144" s="26"/>
      <c r="H144" s="23" t="s">
        <v>540</v>
      </c>
      <c r="I144" s="44">
        <v>20</v>
      </c>
      <c r="J144" s="44">
        <v>30</v>
      </c>
      <c r="K144" s="44">
        <v>30</v>
      </c>
      <c r="L144" s="44">
        <v>30</v>
      </c>
      <c r="M144" s="44">
        <v>60</v>
      </c>
      <c r="N144" s="3">
        <v>89</v>
      </c>
      <c r="O144" s="3">
        <v>178</v>
      </c>
      <c r="P144" s="3">
        <v>237</v>
      </c>
      <c r="Q144" s="3">
        <v>237</v>
      </c>
      <c r="R144" s="3">
        <v>30</v>
      </c>
      <c r="S144" s="3">
        <v>65</v>
      </c>
    </row>
    <row r="145" spans="1:19" ht="15.75" customHeight="1">
      <c r="A145" s="23"/>
      <c r="B145" s="29" t="s">
        <v>22</v>
      </c>
      <c r="C145" s="29" t="s">
        <v>288</v>
      </c>
      <c r="D145" s="10" t="s">
        <v>339</v>
      </c>
      <c r="E145" s="10"/>
      <c r="F145" s="26"/>
      <c r="G145" s="26"/>
      <c r="H145" s="23" t="s">
        <v>541</v>
      </c>
      <c r="I145" s="44">
        <v>35</v>
      </c>
      <c r="J145" s="44">
        <v>38</v>
      </c>
      <c r="K145" s="44">
        <v>40</v>
      </c>
      <c r="L145" s="44">
        <v>50</v>
      </c>
      <c r="M145" s="44">
        <v>88</v>
      </c>
      <c r="N145" s="44">
        <v>147</v>
      </c>
      <c r="O145" s="44">
        <v>177</v>
      </c>
      <c r="P145" s="44">
        <v>206</v>
      </c>
      <c r="Q145" s="44">
        <v>206</v>
      </c>
      <c r="R145" s="44">
        <v>12</v>
      </c>
      <c r="S145" s="44">
        <v>47</v>
      </c>
    </row>
    <row r="146" spans="1:19" ht="15.75" customHeight="1">
      <c r="A146" s="23"/>
      <c r="B146" s="24"/>
      <c r="C146" s="24"/>
      <c r="D146" s="25"/>
      <c r="E146" s="26"/>
      <c r="F146" s="26"/>
      <c r="G146" s="26"/>
      <c r="H146" s="23"/>
      <c r="I146" s="27"/>
      <c r="J146" s="27"/>
      <c r="K146" s="27"/>
      <c r="L146" s="27"/>
      <c r="M146" s="27"/>
      <c r="N146" s="27"/>
      <c r="O146" s="27"/>
      <c r="P146" s="27"/>
      <c r="Q146" s="27"/>
      <c r="R146" s="27"/>
      <c r="S146" s="27"/>
    </row>
    <row r="147" spans="1:19" ht="15.75" customHeight="1">
      <c r="A147" s="23"/>
      <c r="B147" s="24"/>
      <c r="C147" s="24"/>
      <c r="D147" s="25"/>
      <c r="E147" s="26"/>
      <c r="F147" s="26"/>
      <c r="G147" s="26"/>
      <c r="H147" s="23"/>
      <c r="I147" s="27"/>
      <c r="J147" s="27"/>
      <c r="K147" s="27"/>
      <c r="L147" s="27"/>
      <c r="M147" s="27"/>
      <c r="N147" s="27"/>
      <c r="O147" s="27"/>
      <c r="P147" s="27"/>
      <c r="Q147" s="27"/>
      <c r="R147" s="27"/>
      <c r="S147" s="27"/>
    </row>
    <row r="148" spans="1:19" ht="15.75" customHeight="1">
      <c r="A148" s="23"/>
      <c r="B148" s="24"/>
      <c r="C148" s="24"/>
      <c r="D148" s="25"/>
      <c r="E148" s="26"/>
      <c r="F148" s="26"/>
      <c r="G148" s="26"/>
      <c r="H148" s="23"/>
      <c r="I148" s="27"/>
      <c r="J148" s="27"/>
      <c r="K148" s="27"/>
      <c r="L148" s="27"/>
      <c r="M148" s="27"/>
      <c r="N148" s="27"/>
      <c r="O148" s="27"/>
      <c r="P148" s="27"/>
      <c r="Q148" s="27"/>
      <c r="R148" s="27"/>
      <c r="S148" s="27"/>
    </row>
    <row r="149" spans="1:19" ht="15.75" customHeight="1">
      <c r="A149" s="23"/>
      <c r="B149" s="24"/>
      <c r="C149" s="24"/>
      <c r="D149" s="25"/>
      <c r="E149" s="26"/>
      <c r="F149" s="26"/>
      <c r="G149" s="26"/>
      <c r="H149" s="23"/>
      <c r="I149" s="27"/>
      <c r="J149" s="27"/>
      <c r="K149" s="27"/>
      <c r="L149" s="27"/>
      <c r="M149" s="27"/>
      <c r="N149" s="27"/>
      <c r="O149" s="27"/>
      <c r="P149" s="27"/>
      <c r="Q149" s="27"/>
      <c r="R149" s="27"/>
      <c r="S149" s="27"/>
    </row>
    <row r="150" spans="1:19" ht="15.75" customHeight="1">
      <c r="A150" s="23"/>
      <c r="B150" s="24"/>
      <c r="C150" s="24"/>
      <c r="D150" s="25"/>
      <c r="E150" s="26"/>
      <c r="F150" s="26"/>
      <c r="G150" s="26"/>
      <c r="H150" s="23"/>
      <c r="I150" s="27"/>
      <c r="J150" s="27"/>
      <c r="K150" s="27"/>
      <c r="L150" s="27"/>
      <c r="M150" s="27"/>
      <c r="N150" s="27"/>
      <c r="O150" s="27"/>
      <c r="P150" s="27"/>
      <c r="Q150" s="27"/>
      <c r="R150" s="27"/>
      <c r="S150" s="27"/>
    </row>
    <row r="151" spans="1:19" ht="15.75" customHeight="1">
      <c r="A151" s="23"/>
      <c r="B151" s="24"/>
      <c r="C151" s="24"/>
      <c r="D151" s="25"/>
      <c r="E151" s="26"/>
      <c r="F151" s="26"/>
      <c r="G151" s="26"/>
      <c r="H151" s="23"/>
      <c r="I151" s="27"/>
      <c r="J151" s="27"/>
      <c r="K151" s="27"/>
      <c r="L151" s="27"/>
      <c r="M151" s="27"/>
      <c r="N151" s="27"/>
      <c r="O151" s="27"/>
      <c r="P151" s="27"/>
      <c r="Q151" s="27"/>
      <c r="R151" s="27"/>
      <c r="S151" s="27"/>
    </row>
    <row r="152" spans="1:19" ht="15.75" customHeight="1">
      <c r="A152" s="23"/>
      <c r="B152" s="24"/>
      <c r="C152" s="24"/>
      <c r="D152" s="25"/>
      <c r="E152" s="26"/>
      <c r="F152" s="26"/>
      <c r="G152" s="26"/>
      <c r="H152" s="23"/>
      <c r="I152" s="27"/>
      <c r="J152" s="27"/>
      <c r="K152" s="27"/>
      <c r="L152" s="27"/>
      <c r="M152" s="27"/>
      <c r="N152" s="27"/>
      <c r="O152" s="27"/>
      <c r="P152" s="27"/>
      <c r="Q152" s="27"/>
      <c r="R152" s="27"/>
      <c r="S152" s="27"/>
    </row>
    <row r="153" spans="1:19" ht="15.75" customHeight="1">
      <c r="A153" s="23"/>
      <c r="B153" s="24"/>
      <c r="C153" s="24"/>
      <c r="D153" s="25"/>
      <c r="E153" s="26"/>
      <c r="F153" s="26"/>
      <c r="G153" s="26"/>
      <c r="H153" s="23"/>
      <c r="I153" s="27"/>
      <c r="J153" s="27"/>
      <c r="K153" s="27"/>
      <c r="L153" s="27"/>
      <c r="M153" s="27"/>
      <c r="N153" s="27"/>
      <c r="O153" s="27"/>
      <c r="P153" s="27"/>
      <c r="Q153" s="27"/>
      <c r="R153" s="27"/>
      <c r="S153" s="27"/>
    </row>
    <row r="154" spans="1:19" ht="15.75" customHeight="1">
      <c r="A154" s="23"/>
      <c r="B154" s="24"/>
      <c r="C154" s="24"/>
      <c r="D154" s="25"/>
      <c r="E154" s="26"/>
      <c r="F154" s="26"/>
      <c r="G154" s="26"/>
      <c r="H154" s="23"/>
      <c r="I154" s="27"/>
      <c r="J154" s="27"/>
      <c r="K154" s="27"/>
      <c r="L154" s="27"/>
      <c r="M154" s="27"/>
      <c r="N154" s="27"/>
      <c r="O154" s="27"/>
      <c r="P154" s="27"/>
      <c r="Q154" s="27"/>
      <c r="R154" s="27"/>
      <c r="S154" s="27"/>
    </row>
    <row r="155" spans="1:19" ht="15.75" customHeight="1">
      <c r="A155" s="23"/>
      <c r="B155" s="24"/>
      <c r="C155" s="24"/>
      <c r="D155" s="25"/>
      <c r="E155" s="26"/>
      <c r="F155" s="26"/>
      <c r="G155" s="26"/>
      <c r="H155" s="23"/>
      <c r="I155" s="27"/>
      <c r="J155" s="27"/>
      <c r="K155" s="27"/>
      <c r="L155" s="27"/>
      <c r="M155" s="27"/>
      <c r="N155" s="27"/>
      <c r="O155" s="27"/>
      <c r="P155" s="27"/>
      <c r="Q155" s="27"/>
      <c r="R155" s="27"/>
      <c r="S155" s="27"/>
    </row>
    <row r="156" spans="1:19" ht="15.75" customHeight="1">
      <c r="A156" s="23"/>
      <c r="B156" s="24"/>
      <c r="C156" s="24"/>
      <c r="D156" s="25"/>
      <c r="E156" s="26"/>
      <c r="F156" s="26"/>
      <c r="G156" s="26"/>
      <c r="H156" s="23"/>
      <c r="I156" s="27"/>
      <c r="J156" s="27"/>
      <c r="K156" s="27"/>
      <c r="L156" s="27"/>
      <c r="M156" s="27"/>
      <c r="N156" s="27"/>
      <c r="O156" s="27"/>
      <c r="P156" s="27"/>
      <c r="Q156" s="27"/>
      <c r="R156" s="27"/>
      <c r="S156" s="27"/>
    </row>
    <row r="157" spans="1:19" ht="15.75" customHeight="1">
      <c r="A157" s="23"/>
      <c r="B157" s="24"/>
      <c r="C157" s="24"/>
      <c r="D157" s="25"/>
      <c r="E157" s="26"/>
      <c r="F157" s="26"/>
      <c r="G157" s="26"/>
      <c r="H157" s="23"/>
      <c r="I157" s="27"/>
      <c r="J157" s="27"/>
      <c r="K157" s="27"/>
      <c r="L157" s="27"/>
      <c r="M157" s="27"/>
      <c r="N157" s="27"/>
      <c r="O157" s="27"/>
      <c r="P157" s="27"/>
      <c r="Q157" s="27"/>
      <c r="R157" s="27"/>
      <c r="S157" s="27"/>
    </row>
    <row r="158" spans="1:19" ht="15.75" customHeight="1">
      <c r="A158" s="23"/>
      <c r="B158" s="24"/>
      <c r="C158" s="24"/>
      <c r="D158" s="25"/>
      <c r="E158" s="26"/>
      <c r="F158" s="26"/>
      <c r="G158" s="26"/>
      <c r="H158" s="23"/>
      <c r="I158" s="27"/>
      <c r="J158" s="27"/>
      <c r="K158" s="27"/>
      <c r="L158" s="27"/>
      <c r="M158" s="27"/>
      <c r="N158" s="27"/>
      <c r="O158" s="27"/>
      <c r="P158" s="27"/>
      <c r="Q158" s="27"/>
      <c r="R158" s="27"/>
      <c r="S158" s="27"/>
    </row>
    <row r="159" spans="1:19" ht="15.75" customHeight="1">
      <c r="A159" s="23"/>
      <c r="B159" s="24"/>
      <c r="C159" s="24"/>
      <c r="D159" s="25"/>
      <c r="E159" s="26"/>
      <c r="F159" s="26"/>
      <c r="G159" s="26"/>
      <c r="H159" s="23"/>
      <c r="I159" s="27"/>
      <c r="J159" s="27"/>
      <c r="K159" s="27"/>
      <c r="L159" s="27"/>
      <c r="M159" s="27"/>
      <c r="N159" s="27"/>
      <c r="O159" s="27"/>
      <c r="P159" s="27"/>
      <c r="Q159" s="27"/>
      <c r="R159" s="27"/>
      <c r="S159" s="27"/>
    </row>
    <row r="160" spans="1:19" ht="15.75" customHeight="1">
      <c r="A160" s="23"/>
      <c r="B160" s="24"/>
      <c r="C160" s="24"/>
      <c r="D160" s="25"/>
      <c r="E160" s="26"/>
      <c r="F160" s="26"/>
      <c r="G160" s="26"/>
      <c r="H160" s="23"/>
      <c r="I160" s="27"/>
      <c r="J160" s="27"/>
      <c r="K160" s="27"/>
      <c r="L160" s="27"/>
      <c r="M160" s="27"/>
      <c r="N160" s="27"/>
      <c r="O160" s="27"/>
      <c r="P160" s="27"/>
      <c r="Q160" s="27"/>
      <c r="R160" s="27"/>
      <c r="S160" s="27"/>
    </row>
    <row r="161" spans="1:19" ht="15.75" customHeight="1">
      <c r="A161" s="23"/>
      <c r="B161" s="24"/>
      <c r="C161" s="24"/>
      <c r="D161" s="25"/>
      <c r="E161" s="26"/>
      <c r="F161" s="26"/>
      <c r="G161" s="26"/>
      <c r="H161" s="23"/>
      <c r="I161" s="27"/>
      <c r="J161" s="27"/>
      <c r="K161" s="27"/>
      <c r="L161" s="27"/>
      <c r="M161" s="27"/>
      <c r="N161" s="27"/>
      <c r="O161" s="27"/>
      <c r="P161" s="27"/>
      <c r="Q161" s="27"/>
      <c r="R161" s="27"/>
      <c r="S161" s="27"/>
    </row>
    <row r="162" spans="1:19" ht="15.75" customHeight="1"/>
    <row r="163" spans="1:19" ht="15.75" customHeight="1"/>
    <row r="164" spans="1:19" ht="15.75" customHeight="1"/>
    <row r="165" spans="1:19" ht="15.75" customHeight="1"/>
    <row r="166" spans="1:19" ht="15.75" customHeight="1"/>
    <row r="167" spans="1:19" ht="15.75" customHeight="1"/>
    <row r="168" spans="1:19" ht="15.75" customHeight="1"/>
    <row r="169" spans="1:19" ht="15.75" customHeight="1"/>
    <row r="170" spans="1:19" ht="15.75" customHeight="1"/>
    <row r="171" spans="1:19" ht="15.75" customHeight="1"/>
    <row r="172" spans="1:19" ht="15.75" customHeight="1"/>
    <row r="173" spans="1:19" ht="15.75" customHeight="1"/>
    <row r="174" spans="1:19" ht="15.75" customHeight="1"/>
    <row r="175" spans="1:19" ht="15.75" customHeight="1"/>
    <row r="176" spans="1:19"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4">
    <mergeCell ref="D126:E126"/>
    <mergeCell ref="D127:E127"/>
    <mergeCell ref="D128:E128"/>
    <mergeCell ref="D129:E129"/>
    <mergeCell ref="D130:E130"/>
    <mergeCell ref="D131:E131"/>
    <mergeCell ref="D132:E132"/>
    <mergeCell ref="D133:E133"/>
    <mergeCell ref="D134:E134"/>
    <mergeCell ref="D117:E117"/>
    <mergeCell ref="D118:E118"/>
    <mergeCell ref="D119:E119"/>
    <mergeCell ref="D120:E120"/>
    <mergeCell ref="D121:E121"/>
    <mergeCell ref="D122:E122"/>
    <mergeCell ref="D123:E123"/>
    <mergeCell ref="D124:E124"/>
    <mergeCell ref="D125:E125"/>
    <mergeCell ref="D143:E143"/>
    <mergeCell ref="D135:E135"/>
    <mergeCell ref="D136:E136"/>
    <mergeCell ref="D137:E137"/>
    <mergeCell ref="D138:E138"/>
    <mergeCell ref="D139:E139"/>
    <mergeCell ref="D140:E140"/>
    <mergeCell ref="D141:E141"/>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78:E78"/>
    <mergeCell ref="D79:E79"/>
    <mergeCell ref="D80:E80"/>
    <mergeCell ref="D81:E81"/>
    <mergeCell ref="D82:E82"/>
    <mergeCell ref="D83:E83"/>
    <mergeCell ref="D84:E84"/>
    <mergeCell ref="D85:E85"/>
    <mergeCell ref="D142:E142"/>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69:E69"/>
    <mergeCell ref="D70:E70"/>
    <mergeCell ref="D71:E71"/>
    <mergeCell ref="D72:E72"/>
    <mergeCell ref="D73:E73"/>
    <mergeCell ref="D74:E74"/>
    <mergeCell ref="D75:E75"/>
    <mergeCell ref="D76:E76"/>
    <mergeCell ref="D77:E77"/>
    <mergeCell ref="D60:E60"/>
    <mergeCell ref="D61:E61"/>
    <mergeCell ref="D62:E62"/>
    <mergeCell ref="D63:E63"/>
    <mergeCell ref="D64:E64"/>
    <mergeCell ref="D65:E65"/>
    <mergeCell ref="D66:E66"/>
    <mergeCell ref="D67:E67"/>
    <mergeCell ref="D68:E68"/>
    <mergeCell ref="D6:F6"/>
    <mergeCell ref="D7:F7"/>
    <mergeCell ref="D9:E9"/>
    <mergeCell ref="D54:E54"/>
    <mergeCell ref="D55:E55"/>
    <mergeCell ref="D56:E56"/>
    <mergeCell ref="D57:E57"/>
    <mergeCell ref="D58:E58"/>
    <mergeCell ref="D59:E59"/>
    <mergeCell ref="H1:H4"/>
    <mergeCell ref="I1:O1"/>
    <mergeCell ref="I2:O2"/>
    <mergeCell ref="I3:O3"/>
    <mergeCell ref="A1:A4"/>
    <mergeCell ref="B1:B4"/>
    <mergeCell ref="C1:C4"/>
    <mergeCell ref="D1:D4"/>
    <mergeCell ref="E1:E4"/>
    <mergeCell ref="F1:F4"/>
    <mergeCell ref="G1:G4"/>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1000"/>
  <sheetViews>
    <sheetView workbookViewId="0">
      <pane ySplit="4" topLeftCell="A5" activePane="bottomLeft" state="frozen"/>
      <selection pane="bottomLeft" activeCell="B6" sqref="B6"/>
    </sheetView>
  </sheetViews>
  <sheetFormatPr defaultColWidth="12.6328125" defaultRowHeight="15" customHeight="1"/>
  <cols>
    <col min="1" max="1" width="9.26953125" customWidth="1"/>
    <col min="2" max="2" width="18.90625" customWidth="1"/>
    <col min="3" max="3" width="34" customWidth="1"/>
    <col min="4" max="4" width="16.7265625" customWidth="1"/>
    <col min="5" max="7" width="8.6328125" customWidth="1"/>
    <col min="8" max="8" width="35.7265625" customWidth="1"/>
    <col min="9" max="9" width="18.36328125" customWidth="1"/>
    <col min="10" max="10" width="21.6328125" customWidth="1"/>
    <col min="11" max="11" width="22.453125" customWidth="1"/>
    <col min="12" max="12" width="24.26953125" customWidth="1"/>
    <col min="13" max="13" width="17.08984375" customWidth="1"/>
    <col min="14" max="14" width="11.7265625" customWidth="1"/>
    <col min="15" max="15" width="24" customWidth="1"/>
    <col min="16" max="19" width="12.7265625" customWidth="1"/>
  </cols>
  <sheetData>
    <row r="1" spans="1:19" ht="15.75" customHeight="1">
      <c r="A1" s="78" t="s">
        <v>0</v>
      </c>
      <c r="B1" s="78" t="s">
        <v>1</v>
      </c>
      <c r="C1" s="78" t="s">
        <v>2</v>
      </c>
      <c r="D1" s="80" t="s">
        <v>3</v>
      </c>
      <c r="E1" s="78" t="s">
        <v>4</v>
      </c>
      <c r="F1" s="78" t="s">
        <v>5</v>
      </c>
      <c r="G1" s="78" t="s">
        <v>6</v>
      </c>
      <c r="H1" s="78" t="s">
        <v>7</v>
      </c>
      <c r="I1" s="79" t="s">
        <v>8</v>
      </c>
      <c r="J1" s="75"/>
      <c r="K1" s="75"/>
      <c r="L1" s="75"/>
      <c r="M1" s="75"/>
      <c r="N1" s="75"/>
      <c r="O1" s="76"/>
      <c r="P1" s="22"/>
      <c r="Q1" s="22"/>
      <c r="R1" s="22"/>
      <c r="S1" s="22"/>
    </row>
    <row r="2" spans="1:19" ht="15.75" customHeight="1">
      <c r="A2" s="69"/>
      <c r="B2" s="69"/>
      <c r="C2" s="69"/>
      <c r="D2" s="69"/>
      <c r="E2" s="69"/>
      <c r="F2" s="69"/>
      <c r="G2" s="69"/>
      <c r="H2" s="69"/>
      <c r="I2" s="79" t="s">
        <v>328</v>
      </c>
      <c r="J2" s="75"/>
      <c r="K2" s="75"/>
      <c r="L2" s="75"/>
      <c r="M2" s="75"/>
      <c r="N2" s="75"/>
      <c r="O2" s="76"/>
      <c r="P2" s="22"/>
      <c r="Q2" s="22"/>
      <c r="R2" s="22"/>
      <c r="S2" s="22"/>
    </row>
    <row r="3" spans="1:19" ht="15.75" customHeight="1">
      <c r="A3" s="69"/>
      <c r="B3" s="69"/>
      <c r="C3" s="69"/>
      <c r="D3" s="69"/>
      <c r="E3" s="69"/>
      <c r="F3" s="69"/>
      <c r="G3" s="69"/>
      <c r="H3" s="69"/>
      <c r="I3" s="79"/>
      <c r="J3" s="75"/>
      <c r="K3" s="75"/>
      <c r="L3" s="75"/>
      <c r="M3" s="75"/>
      <c r="N3" s="75"/>
      <c r="O3" s="76"/>
      <c r="P3" s="22"/>
      <c r="Q3" s="22"/>
      <c r="R3" s="22"/>
      <c r="S3" s="22"/>
    </row>
    <row r="4" spans="1:19" ht="15.75" customHeight="1">
      <c r="A4" s="70"/>
      <c r="B4" s="70"/>
      <c r="C4" s="70"/>
      <c r="D4" s="70"/>
      <c r="E4" s="70"/>
      <c r="F4" s="70"/>
      <c r="G4" s="70"/>
      <c r="H4" s="70"/>
      <c r="I4" s="3" t="s">
        <v>10</v>
      </c>
      <c r="J4" s="3" t="s">
        <v>11</v>
      </c>
      <c r="K4" s="3" t="s">
        <v>12</v>
      </c>
      <c r="L4" s="3" t="s">
        <v>13</v>
      </c>
      <c r="M4" s="3" t="s">
        <v>14</v>
      </c>
      <c r="N4" s="3" t="s">
        <v>15</v>
      </c>
      <c r="O4" s="3" t="s">
        <v>16</v>
      </c>
      <c r="P4" s="3" t="s">
        <v>17</v>
      </c>
      <c r="Q4" s="3" t="s">
        <v>18</v>
      </c>
      <c r="R4" s="3" t="s">
        <v>19</v>
      </c>
      <c r="S4" s="3" t="s">
        <v>20</v>
      </c>
    </row>
    <row r="5" spans="1:19" ht="15.75" customHeight="1">
      <c r="A5" s="23"/>
      <c r="B5" s="24"/>
      <c r="C5" s="24"/>
      <c r="D5" s="25"/>
      <c r="E5" s="26"/>
      <c r="F5" s="26"/>
      <c r="G5" s="26"/>
      <c r="H5" s="23"/>
      <c r="I5" s="22"/>
      <c r="J5" s="22"/>
      <c r="K5" s="22"/>
      <c r="L5" s="22"/>
      <c r="M5" s="27"/>
      <c r="N5" s="27"/>
      <c r="O5" s="27"/>
      <c r="P5" s="27"/>
      <c r="Q5" s="27"/>
      <c r="R5" s="27"/>
      <c r="S5" s="27"/>
    </row>
    <row r="6" spans="1:19" ht="15.75" customHeight="1">
      <c r="A6" s="10"/>
      <c r="B6" s="10" t="s">
        <v>21</v>
      </c>
      <c r="C6" s="10" t="s">
        <v>22</v>
      </c>
      <c r="D6" s="72" t="s">
        <v>332</v>
      </c>
      <c r="E6" s="73"/>
      <c r="F6" s="73"/>
      <c r="G6" s="10"/>
      <c r="H6" s="10" t="s">
        <v>476</v>
      </c>
      <c r="I6" s="46">
        <v>12</v>
      </c>
      <c r="J6" s="44">
        <v>18</v>
      </c>
      <c r="K6" s="44">
        <v>12</v>
      </c>
      <c r="L6" s="44">
        <v>24</v>
      </c>
      <c r="M6" s="44">
        <v>35</v>
      </c>
      <c r="N6" s="44">
        <v>47</v>
      </c>
      <c r="O6" s="44">
        <v>59</v>
      </c>
      <c r="P6" s="44">
        <v>74</v>
      </c>
      <c r="Q6" s="44">
        <v>74</v>
      </c>
      <c r="R6" s="44">
        <v>12</v>
      </c>
      <c r="S6" s="44">
        <v>24</v>
      </c>
    </row>
    <row r="7" spans="1:19" ht="15.75" customHeight="1">
      <c r="A7" s="10"/>
      <c r="B7" s="10" t="s">
        <v>21</v>
      </c>
      <c r="C7" s="10" t="s">
        <v>25</v>
      </c>
      <c r="D7" s="72" t="s">
        <v>335</v>
      </c>
      <c r="E7" s="73"/>
      <c r="F7" s="73"/>
      <c r="G7" s="10"/>
      <c r="H7" s="10" t="s">
        <v>336</v>
      </c>
      <c r="I7" s="46">
        <v>18</v>
      </c>
      <c r="J7" s="44">
        <v>24</v>
      </c>
      <c r="K7" s="44">
        <v>18</v>
      </c>
      <c r="L7" s="44">
        <v>30</v>
      </c>
      <c r="M7" s="44">
        <v>70</v>
      </c>
      <c r="N7" s="44">
        <v>94</v>
      </c>
      <c r="O7" s="44">
        <v>108</v>
      </c>
      <c r="P7" s="44">
        <v>148</v>
      </c>
      <c r="Q7" s="44">
        <v>148</v>
      </c>
      <c r="R7" s="44">
        <v>24</v>
      </c>
      <c r="S7" s="44">
        <v>48</v>
      </c>
    </row>
    <row r="8" spans="1:19" ht="15.75" customHeight="1">
      <c r="A8" s="10"/>
      <c r="B8" s="10" t="s">
        <v>22</v>
      </c>
      <c r="C8" s="10" t="s">
        <v>29</v>
      </c>
      <c r="D8" s="10" t="s">
        <v>30</v>
      </c>
      <c r="E8" s="10"/>
      <c r="F8" s="10"/>
      <c r="G8" s="10"/>
      <c r="H8" s="10" t="s">
        <v>337</v>
      </c>
      <c r="I8" s="46">
        <v>41</v>
      </c>
      <c r="J8" s="46">
        <v>47</v>
      </c>
      <c r="K8" s="46">
        <v>53</v>
      </c>
      <c r="L8" s="46">
        <v>65</v>
      </c>
      <c r="M8" s="46">
        <v>165</v>
      </c>
      <c r="N8" s="44">
        <v>236</v>
      </c>
      <c r="O8" s="44">
        <v>295</v>
      </c>
      <c r="P8" s="44">
        <v>354</v>
      </c>
      <c r="Q8" s="46">
        <v>354</v>
      </c>
      <c r="R8" s="46">
        <v>12</v>
      </c>
      <c r="S8" s="46">
        <v>47</v>
      </c>
    </row>
    <row r="9" spans="1:19" ht="15.75" customHeight="1">
      <c r="A9" s="10"/>
      <c r="B9" s="10" t="s">
        <v>22</v>
      </c>
      <c r="C9" s="10" t="s">
        <v>341</v>
      </c>
      <c r="D9" s="72" t="s">
        <v>34</v>
      </c>
      <c r="E9" s="73"/>
      <c r="F9" s="10"/>
      <c r="G9" s="10"/>
      <c r="H9" s="10" t="s">
        <v>342</v>
      </c>
      <c r="I9" s="46">
        <v>47</v>
      </c>
      <c r="J9" s="46">
        <v>53</v>
      </c>
      <c r="K9" s="46">
        <v>59</v>
      </c>
      <c r="L9" s="46">
        <v>71</v>
      </c>
      <c r="M9" s="46">
        <v>195</v>
      </c>
      <c r="N9" s="44">
        <v>295</v>
      </c>
      <c r="O9" s="44">
        <v>383</v>
      </c>
      <c r="P9" s="44">
        <v>427</v>
      </c>
      <c r="Q9" s="44">
        <v>427</v>
      </c>
      <c r="R9" s="44">
        <v>12</v>
      </c>
      <c r="S9" s="44">
        <v>47</v>
      </c>
    </row>
    <row r="10" spans="1:19" ht="15.75" customHeight="1">
      <c r="A10" s="10"/>
      <c r="B10" s="10" t="s">
        <v>22</v>
      </c>
      <c r="C10" s="10" t="s">
        <v>29</v>
      </c>
      <c r="D10" s="10" t="s">
        <v>36</v>
      </c>
      <c r="E10" s="10"/>
      <c r="F10" s="10"/>
      <c r="G10" s="10"/>
      <c r="H10" s="10" t="s">
        <v>343</v>
      </c>
      <c r="I10" s="44">
        <v>77</v>
      </c>
      <c r="J10" s="46">
        <v>83</v>
      </c>
      <c r="K10" s="46">
        <v>89</v>
      </c>
      <c r="L10" s="46">
        <v>101</v>
      </c>
      <c r="M10" s="46">
        <v>225</v>
      </c>
      <c r="N10" s="44">
        <v>324</v>
      </c>
      <c r="O10" s="44">
        <v>445</v>
      </c>
      <c r="P10" s="46">
        <v>560</v>
      </c>
      <c r="Q10" s="46">
        <v>560</v>
      </c>
      <c r="R10" s="46">
        <v>30</v>
      </c>
      <c r="S10" s="46">
        <v>65</v>
      </c>
    </row>
    <row r="11" spans="1:19" ht="15.75" customHeight="1">
      <c r="A11" s="10"/>
      <c r="B11" s="10"/>
      <c r="C11" s="10"/>
      <c r="D11" s="10"/>
      <c r="E11" s="10"/>
      <c r="F11" s="10"/>
      <c r="G11" s="10"/>
      <c r="H11" s="10"/>
      <c r="I11" s="3"/>
      <c r="J11" s="3"/>
      <c r="K11" s="3"/>
      <c r="L11" s="3"/>
      <c r="M11" s="47"/>
      <c r="N11" s="3"/>
      <c r="O11" s="3"/>
      <c r="P11" s="3"/>
      <c r="Q11" s="3"/>
      <c r="R11" s="3"/>
      <c r="S11" s="3"/>
    </row>
    <row r="12" spans="1:19" ht="15.75" customHeight="1">
      <c r="A12" s="10"/>
      <c r="B12" s="10" t="s">
        <v>28</v>
      </c>
      <c r="C12" s="10" t="s">
        <v>38</v>
      </c>
      <c r="D12" s="10" t="s">
        <v>30</v>
      </c>
      <c r="E12" s="10"/>
      <c r="F12" s="10"/>
      <c r="G12" s="10"/>
      <c r="H12" s="10" t="s">
        <v>344</v>
      </c>
      <c r="I12" s="46">
        <v>71</v>
      </c>
      <c r="J12" s="46">
        <v>76</v>
      </c>
      <c r="K12" s="46">
        <v>80</v>
      </c>
      <c r="L12" s="46">
        <v>85</v>
      </c>
      <c r="M12" s="46">
        <v>195</v>
      </c>
      <c r="N12" s="44">
        <v>265</v>
      </c>
      <c r="O12" s="44">
        <v>324</v>
      </c>
      <c r="P12" s="46">
        <v>354</v>
      </c>
      <c r="Q12" s="46">
        <v>354</v>
      </c>
      <c r="R12" s="46">
        <v>12</v>
      </c>
      <c r="S12" s="46">
        <v>47</v>
      </c>
    </row>
    <row r="13" spans="1:19" ht="15.75" customHeight="1">
      <c r="A13" s="10"/>
      <c r="B13" s="10" t="s">
        <v>28</v>
      </c>
      <c r="C13" s="10" t="s">
        <v>38</v>
      </c>
      <c r="D13" s="10" t="s">
        <v>36</v>
      </c>
      <c r="E13" s="10"/>
      <c r="F13" s="10"/>
      <c r="G13" s="10"/>
      <c r="H13" s="10" t="s">
        <v>345</v>
      </c>
      <c r="I13" s="44">
        <v>107</v>
      </c>
      <c r="J13" s="46">
        <v>112</v>
      </c>
      <c r="K13" s="46">
        <v>116</v>
      </c>
      <c r="L13" s="46">
        <v>121</v>
      </c>
      <c r="M13" s="46">
        <v>255</v>
      </c>
      <c r="N13" s="44">
        <v>353</v>
      </c>
      <c r="O13" s="44">
        <v>474</v>
      </c>
      <c r="P13" s="46">
        <v>560</v>
      </c>
      <c r="Q13" s="46">
        <v>560</v>
      </c>
      <c r="R13" s="46">
        <v>30</v>
      </c>
      <c r="S13" s="46">
        <v>65</v>
      </c>
    </row>
    <row r="14" spans="1:19" ht="15.75" customHeight="1">
      <c r="A14" s="10"/>
      <c r="B14" s="10" t="s">
        <v>28</v>
      </c>
      <c r="C14" s="10" t="s">
        <v>41</v>
      </c>
      <c r="D14" s="10" t="s">
        <v>30</v>
      </c>
      <c r="E14" s="10"/>
      <c r="F14" s="10"/>
      <c r="G14" s="10"/>
      <c r="H14" s="10" t="s">
        <v>346</v>
      </c>
      <c r="I14" s="46">
        <v>71</v>
      </c>
      <c r="J14" s="46">
        <v>76</v>
      </c>
      <c r="K14" s="46">
        <v>80</v>
      </c>
      <c r="L14" s="46">
        <v>85</v>
      </c>
      <c r="M14" s="46">
        <v>195</v>
      </c>
      <c r="N14" s="44">
        <v>265</v>
      </c>
      <c r="O14" s="44">
        <v>324</v>
      </c>
      <c r="P14" s="46">
        <v>354</v>
      </c>
      <c r="Q14" s="44">
        <v>354</v>
      </c>
      <c r="R14" s="44">
        <v>12</v>
      </c>
      <c r="S14" s="44">
        <v>47</v>
      </c>
    </row>
    <row r="15" spans="1:19" ht="15.75" customHeight="1">
      <c r="A15" s="10"/>
      <c r="B15" s="10" t="s">
        <v>28</v>
      </c>
      <c r="C15" s="10" t="s">
        <v>41</v>
      </c>
      <c r="D15" s="10" t="s">
        <v>36</v>
      </c>
      <c r="E15" s="10"/>
      <c r="F15" s="10"/>
      <c r="G15" s="10"/>
      <c r="H15" s="10" t="s">
        <v>347</v>
      </c>
      <c r="I15" s="44">
        <v>107</v>
      </c>
      <c r="J15" s="46">
        <v>112</v>
      </c>
      <c r="K15" s="46">
        <v>116</v>
      </c>
      <c r="L15" s="46">
        <v>121</v>
      </c>
      <c r="M15" s="46">
        <v>255</v>
      </c>
      <c r="N15" s="44">
        <v>353</v>
      </c>
      <c r="O15" s="44">
        <v>474</v>
      </c>
      <c r="P15" s="46">
        <v>560</v>
      </c>
      <c r="Q15" s="46">
        <v>560</v>
      </c>
      <c r="R15" s="46">
        <v>30</v>
      </c>
      <c r="S15" s="46">
        <v>65</v>
      </c>
    </row>
    <row r="16" spans="1:19" ht="15.75" customHeight="1">
      <c r="A16" s="10"/>
      <c r="B16" s="10" t="s">
        <v>28</v>
      </c>
      <c r="C16" s="10" t="s">
        <v>477</v>
      </c>
      <c r="D16" s="10" t="s">
        <v>30</v>
      </c>
      <c r="E16" s="10"/>
      <c r="F16" s="10"/>
      <c r="G16" s="10"/>
      <c r="H16" s="10" t="s">
        <v>349</v>
      </c>
      <c r="I16" s="46">
        <v>71</v>
      </c>
      <c r="J16" s="46">
        <v>78</v>
      </c>
      <c r="K16" s="46">
        <v>82</v>
      </c>
      <c r="L16" s="46">
        <v>88</v>
      </c>
      <c r="M16" s="46">
        <v>230</v>
      </c>
      <c r="N16" s="44">
        <v>312</v>
      </c>
      <c r="O16" s="44">
        <v>383</v>
      </c>
      <c r="P16" s="46">
        <v>427</v>
      </c>
      <c r="Q16" s="44">
        <v>427</v>
      </c>
      <c r="R16" s="44">
        <v>12</v>
      </c>
      <c r="S16" s="44">
        <v>47</v>
      </c>
    </row>
    <row r="17" spans="1:19" ht="15.75" customHeight="1">
      <c r="A17" s="10"/>
      <c r="B17" s="10" t="s">
        <v>28</v>
      </c>
      <c r="C17" s="10" t="s">
        <v>478</v>
      </c>
      <c r="D17" s="10" t="s">
        <v>30</v>
      </c>
      <c r="E17" s="10"/>
      <c r="F17" s="10"/>
      <c r="G17" s="10"/>
      <c r="H17" s="10" t="s">
        <v>351</v>
      </c>
      <c r="I17" s="46">
        <v>71</v>
      </c>
      <c r="J17" s="44">
        <v>78</v>
      </c>
      <c r="K17" s="44">
        <v>82</v>
      </c>
      <c r="L17" s="44">
        <v>88</v>
      </c>
      <c r="M17" s="44">
        <v>230</v>
      </c>
      <c r="N17" s="44">
        <v>312</v>
      </c>
      <c r="O17" s="44">
        <v>383</v>
      </c>
      <c r="P17" s="46">
        <v>427</v>
      </c>
      <c r="Q17" s="46">
        <v>427</v>
      </c>
      <c r="R17" s="46">
        <v>12</v>
      </c>
      <c r="S17" s="46">
        <v>47</v>
      </c>
    </row>
    <row r="18" spans="1:19" ht="15.75" customHeight="1">
      <c r="A18" s="10"/>
      <c r="B18" s="10"/>
      <c r="C18" s="10"/>
      <c r="D18" s="10"/>
      <c r="E18" s="10"/>
      <c r="F18" s="10"/>
      <c r="G18" s="10"/>
      <c r="H18" s="10"/>
      <c r="I18" s="3"/>
      <c r="J18" s="3"/>
      <c r="K18" s="3"/>
      <c r="L18" s="3"/>
      <c r="M18" s="3"/>
      <c r="N18" s="3"/>
      <c r="O18" s="3"/>
      <c r="P18" s="3"/>
      <c r="Q18" s="3"/>
      <c r="R18" s="3"/>
      <c r="S18" s="3"/>
    </row>
    <row r="19" spans="1:19" ht="15.75" customHeight="1">
      <c r="A19" s="10"/>
      <c r="B19" s="10" t="s">
        <v>28</v>
      </c>
      <c r="C19" s="10" t="s">
        <v>50</v>
      </c>
      <c r="D19" s="10" t="s">
        <v>30</v>
      </c>
      <c r="E19" s="10"/>
      <c r="F19" s="10"/>
      <c r="G19" s="10"/>
      <c r="H19" s="10" t="s">
        <v>352</v>
      </c>
      <c r="I19" s="44">
        <v>71</v>
      </c>
      <c r="J19" s="44">
        <v>76</v>
      </c>
      <c r="K19" s="44">
        <v>80</v>
      </c>
      <c r="L19" s="44">
        <v>85</v>
      </c>
      <c r="M19" s="44">
        <v>195</v>
      </c>
      <c r="N19" s="44">
        <v>295</v>
      </c>
      <c r="O19" s="44">
        <v>354</v>
      </c>
      <c r="P19" s="44">
        <v>412</v>
      </c>
      <c r="Q19" s="44">
        <v>412</v>
      </c>
      <c r="R19" s="44">
        <v>12</v>
      </c>
      <c r="S19" s="44">
        <v>47</v>
      </c>
    </row>
    <row r="20" spans="1:19" ht="15.75" customHeight="1">
      <c r="A20" s="10"/>
      <c r="B20" s="10" t="s">
        <v>28</v>
      </c>
      <c r="C20" s="10" t="s">
        <v>50</v>
      </c>
      <c r="D20" s="10" t="s">
        <v>36</v>
      </c>
      <c r="E20" s="10"/>
      <c r="F20" s="10"/>
      <c r="G20" s="10"/>
      <c r="H20" s="10" t="s">
        <v>353</v>
      </c>
      <c r="I20" s="44">
        <v>107</v>
      </c>
      <c r="J20" s="46">
        <v>112</v>
      </c>
      <c r="K20" s="46">
        <v>116</v>
      </c>
      <c r="L20" s="46">
        <v>121</v>
      </c>
      <c r="M20" s="46">
        <v>255</v>
      </c>
      <c r="N20" s="44">
        <v>383</v>
      </c>
      <c r="O20" s="44">
        <v>504</v>
      </c>
      <c r="P20" s="46">
        <v>618</v>
      </c>
      <c r="Q20" s="46">
        <v>618</v>
      </c>
      <c r="R20" s="44">
        <v>30</v>
      </c>
      <c r="S20" s="44">
        <v>65</v>
      </c>
    </row>
    <row r="21" spans="1:19" ht="15.75" customHeight="1">
      <c r="A21" s="10"/>
      <c r="B21" s="10" t="s">
        <v>28</v>
      </c>
      <c r="C21" s="10" t="s">
        <v>53</v>
      </c>
      <c r="D21" s="10" t="s">
        <v>30</v>
      </c>
      <c r="E21" s="10"/>
      <c r="F21" s="10"/>
      <c r="G21" s="10"/>
      <c r="H21" s="10" t="s">
        <v>479</v>
      </c>
      <c r="I21" s="44">
        <v>71</v>
      </c>
      <c r="J21" s="44">
        <v>76</v>
      </c>
      <c r="K21" s="44">
        <v>80</v>
      </c>
      <c r="L21" s="44">
        <v>85</v>
      </c>
      <c r="M21" s="44">
        <v>206</v>
      </c>
      <c r="N21" s="44">
        <v>295</v>
      </c>
      <c r="O21" s="44">
        <v>354</v>
      </c>
      <c r="P21" s="44">
        <v>412</v>
      </c>
      <c r="Q21" s="44">
        <v>412</v>
      </c>
      <c r="R21" s="44">
        <v>12</v>
      </c>
      <c r="S21" s="44">
        <v>47</v>
      </c>
    </row>
    <row r="22" spans="1:19" ht="15.75" customHeight="1">
      <c r="A22" s="10"/>
      <c r="B22" s="10" t="s">
        <v>28</v>
      </c>
      <c r="C22" s="10" t="s">
        <v>53</v>
      </c>
      <c r="D22" s="10" t="s">
        <v>36</v>
      </c>
      <c r="E22" s="10"/>
      <c r="F22" s="10"/>
      <c r="G22" s="10"/>
      <c r="H22" s="10" t="s">
        <v>480</v>
      </c>
      <c r="I22" s="44">
        <v>107</v>
      </c>
      <c r="J22" s="46">
        <v>112</v>
      </c>
      <c r="K22" s="46">
        <v>116</v>
      </c>
      <c r="L22" s="46">
        <v>121</v>
      </c>
      <c r="M22" s="46">
        <v>255</v>
      </c>
      <c r="N22" s="44">
        <v>383</v>
      </c>
      <c r="O22" s="44">
        <v>504</v>
      </c>
      <c r="P22" s="46">
        <v>618</v>
      </c>
      <c r="Q22" s="46">
        <v>618</v>
      </c>
      <c r="R22" s="44">
        <v>30</v>
      </c>
      <c r="S22" s="44">
        <v>65</v>
      </c>
    </row>
    <row r="23" spans="1:19" ht="15.75" customHeight="1">
      <c r="A23" s="10"/>
      <c r="B23" s="10" t="s">
        <v>28</v>
      </c>
      <c r="C23" s="10" t="s">
        <v>56</v>
      </c>
      <c r="D23" s="10" t="s">
        <v>30</v>
      </c>
      <c r="E23" s="10"/>
      <c r="F23" s="10"/>
      <c r="G23" s="10"/>
      <c r="H23" s="10" t="s">
        <v>357</v>
      </c>
      <c r="I23" s="44">
        <v>76</v>
      </c>
      <c r="J23" s="44">
        <v>80</v>
      </c>
      <c r="K23" s="44">
        <v>85</v>
      </c>
      <c r="L23" s="44">
        <v>90</v>
      </c>
      <c r="M23" s="44">
        <v>206</v>
      </c>
      <c r="N23" s="44">
        <v>295</v>
      </c>
      <c r="O23" s="44">
        <v>354</v>
      </c>
      <c r="P23" s="44">
        <v>412</v>
      </c>
      <c r="Q23" s="46">
        <v>412</v>
      </c>
      <c r="R23" s="44">
        <v>12</v>
      </c>
      <c r="S23" s="44">
        <v>47</v>
      </c>
    </row>
    <row r="24" spans="1:19" ht="15.75" customHeight="1">
      <c r="A24" s="10"/>
      <c r="B24" s="10" t="s">
        <v>28</v>
      </c>
      <c r="C24" s="10" t="s">
        <v>56</v>
      </c>
      <c r="D24" s="10" t="s">
        <v>36</v>
      </c>
      <c r="E24" s="10"/>
      <c r="F24" s="10"/>
      <c r="G24" s="10"/>
      <c r="H24" s="10" t="s">
        <v>358</v>
      </c>
      <c r="I24" s="44">
        <v>112</v>
      </c>
      <c r="J24" s="46">
        <v>116</v>
      </c>
      <c r="K24" s="46">
        <v>121</v>
      </c>
      <c r="L24" s="46">
        <v>126</v>
      </c>
      <c r="M24" s="46">
        <v>266</v>
      </c>
      <c r="N24" s="44">
        <v>388</v>
      </c>
      <c r="O24" s="44">
        <v>504</v>
      </c>
      <c r="P24" s="46">
        <v>628</v>
      </c>
      <c r="Q24" s="46">
        <v>628</v>
      </c>
      <c r="R24" s="44">
        <v>30</v>
      </c>
      <c r="S24" s="44">
        <v>65</v>
      </c>
    </row>
    <row r="25" spans="1:19" ht="15.75" customHeight="1">
      <c r="A25" s="10"/>
      <c r="B25" s="10"/>
      <c r="C25" s="10"/>
      <c r="D25" s="10"/>
      <c r="E25" s="10"/>
      <c r="F25" s="10"/>
      <c r="G25" s="10"/>
      <c r="H25" s="10"/>
      <c r="I25" s="3"/>
      <c r="J25" s="3"/>
      <c r="K25" s="3"/>
      <c r="L25" s="3"/>
      <c r="M25" s="3"/>
      <c r="N25" s="3"/>
      <c r="O25" s="3"/>
      <c r="P25" s="3"/>
      <c r="Q25" s="3"/>
      <c r="R25" s="3"/>
      <c r="S25" s="3"/>
    </row>
    <row r="26" spans="1:19" ht="15.75" customHeight="1">
      <c r="A26" s="10"/>
      <c r="B26" s="10" t="s">
        <v>28</v>
      </c>
      <c r="C26" s="10" t="s">
        <v>59</v>
      </c>
      <c r="D26" s="10" t="s">
        <v>30</v>
      </c>
      <c r="E26" s="10"/>
      <c r="F26" s="10"/>
      <c r="G26" s="10"/>
      <c r="H26" s="10" t="s">
        <v>359</v>
      </c>
      <c r="I26" s="44">
        <v>71</v>
      </c>
      <c r="J26" s="44">
        <v>76</v>
      </c>
      <c r="K26" s="44">
        <v>80</v>
      </c>
      <c r="L26" s="44">
        <v>85</v>
      </c>
      <c r="M26" s="44">
        <v>195</v>
      </c>
      <c r="N26" s="44">
        <v>265</v>
      </c>
      <c r="O26" s="44">
        <v>324</v>
      </c>
      <c r="P26" s="44">
        <v>354</v>
      </c>
      <c r="Q26" s="44">
        <v>354</v>
      </c>
      <c r="R26" s="44">
        <v>12</v>
      </c>
      <c r="S26" s="44">
        <v>47</v>
      </c>
    </row>
    <row r="27" spans="1:19" ht="15.75" customHeight="1">
      <c r="A27" s="10"/>
      <c r="B27" s="10" t="s">
        <v>28</v>
      </c>
      <c r="C27" s="10" t="s">
        <v>59</v>
      </c>
      <c r="D27" s="10" t="s">
        <v>36</v>
      </c>
      <c r="E27" s="10"/>
      <c r="F27" s="10"/>
      <c r="G27" s="10"/>
      <c r="H27" s="10" t="s">
        <v>360</v>
      </c>
      <c r="I27" s="44">
        <v>107</v>
      </c>
      <c r="J27" s="46">
        <v>112</v>
      </c>
      <c r="K27" s="46">
        <v>116</v>
      </c>
      <c r="L27" s="46">
        <v>121</v>
      </c>
      <c r="M27" s="46">
        <v>255</v>
      </c>
      <c r="N27" s="44">
        <v>383</v>
      </c>
      <c r="O27" s="44">
        <v>504</v>
      </c>
      <c r="P27" s="46">
        <v>618</v>
      </c>
      <c r="Q27" s="46">
        <v>618</v>
      </c>
      <c r="R27" s="44">
        <v>30</v>
      </c>
      <c r="S27" s="44">
        <v>65</v>
      </c>
    </row>
    <row r="28" spans="1:19" ht="15.75" customHeight="1">
      <c r="A28" s="10"/>
      <c r="B28" s="10" t="s">
        <v>28</v>
      </c>
      <c r="C28" s="10" t="s">
        <v>62</v>
      </c>
      <c r="D28" s="10" t="s">
        <v>30</v>
      </c>
      <c r="E28" s="10"/>
      <c r="F28" s="10"/>
      <c r="G28" s="10"/>
      <c r="H28" s="10" t="s">
        <v>361</v>
      </c>
      <c r="I28" s="44">
        <v>71</v>
      </c>
      <c r="J28" s="44">
        <v>76</v>
      </c>
      <c r="K28" s="44">
        <v>80</v>
      </c>
      <c r="L28" s="44">
        <v>85</v>
      </c>
      <c r="M28" s="44">
        <v>195</v>
      </c>
      <c r="N28" s="44">
        <v>265</v>
      </c>
      <c r="O28" s="44">
        <v>324</v>
      </c>
      <c r="P28" s="44">
        <v>383</v>
      </c>
      <c r="Q28" s="44">
        <v>383</v>
      </c>
      <c r="R28" s="44">
        <v>12</v>
      </c>
      <c r="S28" s="44">
        <v>47</v>
      </c>
    </row>
    <row r="29" spans="1:19" ht="15.75" customHeight="1">
      <c r="A29" s="10"/>
      <c r="B29" s="10" t="s">
        <v>28</v>
      </c>
      <c r="C29" s="10" t="s">
        <v>62</v>
      </c>
      <c r="D29" s="10" t="s">
        <v>36</v>
      </c>
      <c r="E29" s="10"/>
      <c r="F29" s="10"/>
      <c r="G29" s="10"/>
      <c r="H29" s="10" t="s">
        <v>362</v>
      </c>
      <c r="I29" s="44">
        <v>107</v>
      </c>
      <c r="J29" s="46">
        <v>112</v>
      </c>
      <c r="K29" s="46">
        <v>116</v>
      </c>
      <c r="L29" s="46">
        <v>121</v>
      </c>
      <c r="M29" s="46">
        <v>255</v>
      </c>
      <c r="N29" s="44">
        <v>383</v>
      </c>
      <c r="O29" s="44">
        <v>504</v>
      </c>
      <c r="P29" s="46">
        <v>618</v>
      </c>
      <c r="Q29" s="46">
        <v>618</v>
      </c>
      <c r="R29" s="44">
        <v>30</v>
      </c>
      <c r="S29" s="44">
        <v>65</v>
      </c>
    </row>
    <row r="30" spans="1:19" ht="15.75" customHeight="1">
      <c r="A30" s="10"/>
      <c r="B30" s="10" t="s">
        <v>28</v>
      </c>
      <c r="C30" s="10" t="s">
        <v>65</v>
      </c>
      <c r="D30" s="10" t="s">
        <v>30</v>
      </c>
      <c r="E30" s="10"/>
      <c r="F30" s="10"/>
      <c r="G30" s="10"/>
      <c r="H30" s="10" t="s">
        <v>363</v>
      </c>
      <c r="I30" s="44">
        <v>71</v>
      </c>
      <c r="J30" s="44">
        <v>76</v>
      </c>
      <c r="K30" s="44">
        <v>80</v>
      </c>
      <c r="L30" s="44">
        <v>85</v>
      </c>
      <c r="M30" s="44">
        <v>195</v>
      </c>
      <c r="N30" s="44">
        <v>265</v>
      </c>
      <c r="O30" s="44">
        <v>324</v>
      </c>
      <c r="P30" s="44">
        <v>383</v>
      </c>
      <c r="Q30" s="46">
        <v>383</v>
      </c>
      <c r="R30" s="44">
        <v>12</v>
      </c>
      <c r="S30" s="44">
        <v>47</v>
      </c>
    </row>
    <row r="31" spans="1:19" ht="15.75" customHeight="1">
      <c r="A31" s="10"/>
      <c r="B31" s="10" t="s">
        <v>28</v>
      </c>
      <c r="C31" s="10" t="s">
        <v>65</v>
      </c>
      <c r="D31" s="10" t="s">
        <v>36</v>
      </c>
      <c r="E31" s="10"/>
      <c r="F31" s="10"/>
      <c r="G31" s="10"/>
      <c r="H31" s="10" t="s">
        <v>364</v>
      </c>
      <c r="I31" s="44">
        <v>107</v>
      </c>
      <c r="J31" s="46">
        <v>112</v>
      </c>
      <c r="K31" s="46">
        <v>116</v>
      </c>
      <c r="L31" s="46">
        <v>121</v>
      </c>
      <c r="M31" s="46">
        <v>255</v>
      </c>
      <c r="N31" s="44">
        <v>383</v>
      </c>
      <c r="O31" s="44">
        <v>474</v>
      </c>
      <c r="P31" s="46">
        <v>589</v>
      </c>
      <c r="Q31" s="46">
        <v>589</v>
      </c>
      <c r="R31" s="44">
        <v>30</v>
      </c>
      <c r="S31" s="44">
        <v>65</v>
      </c>
    </row>
    <row r="32" spans="1:19" ht="15.75" customHeight="1">
      <c r="A32" s="10"/>
      <c r="B32" s="10" t="s">
        <v>28</v>
      </c>
      <c r="C32" s="10" t="s">
        <v>68</v>
      </c>
      <c r="D32" s="10" t="s">
        <v>30</v>
      </c>
      <c r="E32" s="10"/>
      <c r="F32" s="10"/>
      <c r="G32" s="10"/>
      <c r="H32" s="10" t="s">
        <v>365</v>
      </c>
      <c r="I32" s="44">
        <v>71</v>
      </c>
      <c r="J32" s="44">
        <v>76</v>
      </c>
      <c r="K32" s="44">
        <v>80</v>
      </c>
      <c r="L32" s="44">
        <v>85</v>
      </c>
      <c r="M32" s="44">
        <v>195</v>
      </c>
      <c r="N32" s="44">
        <v>265</v>
      </c>
      <c r="O32" s="44">
        <v>324</v>
      </c>
      <c r="P32" s="44">
        <v>354</v>
      </c>
      <c r="Q32" s="46">
        <v>354</v>
      </c>
      <c r="R32" s="44">
        <v>12</v>
      </c>
      <c r="S32" s="44">
        <v>47</v>
      </c>
    </row>
    <row r="33" spans="1:19" ht="15.75" customHeight="1">
      <c r="A33" s="10"/>
      <c r="B33" s="10" t="s">
        <v>28</v>
      </c>
      <c r="C33" s="10" t="s">
        <v>68</v>
      </c>
      <c r="D33" s="10" t="s">
        <v>36</v>
      </c>
      <c r="E33" s="10"/>
      <c r="F33" s="10"/>
      <c r="G33" s="10"/>
      <c r="H33" s="10" t="s">
        <v>366</v>
      </c>
      <c r="I33" s="44">
        <v>107</v>
      </c>
      <c r="J33" s="46">
        <v>112</v>
      </c>
      <c r="K33" s="46">
        <v>116</v>
      </c>
      <c r="L33" s="46">
        <v>121</v>
      </c>
      <c r="M33" s="46">
        <v>255</v>
      </c>
      <c r="N33" s="44">
        <v>353</v>
      </c>
      <c r="O33" s="44">
        <v>150</v>
      </c>
      <c r="P33" s="46">
        <v>560</v>
      </c>
      <c r="Q33" s="46">
        <v>560</v>
      </c>
      <c r="R33" s="44">
        <v>30</v>
      </c>
      <c r="S33" s="44">
        <v>65</v>
      </c>
    </row>
    <row r="34" spans="1:19" ht="15.75" customHeight="1">
      <c r="A34" s="10"/>
      <c r="B34" s="10"/>
      <c r="C34" s="10"/>
      <c r="D34" s="10"/>
      <c r="E34" s="10"/>
      <c r="F34" s="10"/>
      <c r="G34" s="10"/>
      <c r="H34" s="10"/>
      <c r="I34" s="3"/>
      <c r="J34" s="3"/>
      <c r="K34" s="3"/>
      <c r="L34" s="3"/>
      <c r="M34" s="3"/>
      <c r="N34" s="3"/>
      <c r="O34" s="3"/>
      <c r="P34" s="3"/>
      <c r="Q34" s="3"/>
      <c r="R34" s="3"/>
      <c r="S34" s="3"/>
    </row>
    <row r="35" spans="1:19" ht="15.75" customHeight="1">
      <c r="A35" s="10"/>
      <c r="B35" s="10" t="s">
        <v>28</v>
      </c>
      <c r="C35" s="10" t="s">
        <v>367</v>
      </c>
      <c r="D35" s="10" t="s">
        <v>30</v>
      </c>
      <c r="E35" s="10"/>
      <c r="F35" s="10"/>
      <c r="G35" s="10"/>
      <c r="H35" s="10" t="s">
        <v>368</v>
      </c>
      <c r="I35" s="44">
        <v>77</v>
      </c>
      <c r="J35" s="44">
        <v>83</v>
      </c>
      <c r="K35" s="44">
        <v>101</v>
      </c>
      <c r="L35" s="44">
        <v>112</v>
      </c>
      <c r="M35" s="44">
        <v>300</v>
      </c>
      <c r="N35" s="44">
        <v>207</v>
      </c>
      <c r="O35" s="44">
        <v>412</v>
      </c>
      <c r="P35" s="44">
        <v>471</v>
      </c>
      <c r="Q35" s="44">
        <v>471</v>
      </c>
      <c r="R35" s="44">
        <v>12</v>
      </c>
      <c r="S35" s="44">
        <v>47</v>
      </c>
    </row>
    <row r="36" spans="1:19" ht="15.75" customHeight="1">
      <c r="A36" s="10"/>
      <c r="B36" s="10" t="s">
        <v>28</v>
      </c>
      <c r="C36" s="10" t="s">
        <v>76</v>
      </c>
      <c r="D36" s="10" t="s">
        <v>30</v>
      </c>
      <c r="E36" s="10"/>
      <c r="F36" s="10"/>
      <c r="G36" s="10"/>
      <c r="H36" s="10" t="s">
        <v>369</v>
      </c>
      <c r="I36" s="44">
        <v>77</v>
      </c>
      <c r="J36" s="44">
        <v>83</v>
      </c>
      <c r="K36" s="44">
        <v>101</v>
      </c>
      <c r="L36" s="44">
        <v>112</v>
      </c>
      <c r="M36" s="44">
        <v>265</v>
      </c>
      <c r="N36" s="44">
        <v>354</v>
      </c>
      <c r="O36" s="44">
        <v>412</v>
      </c>
      <c r="P36" s="44">
        <v>471</v>
      </c>
      <c r="Q36" s="46">
        <v>471</v>
      </c>
      <c r="R36" s="44">
        <v>12</v>
      </c>
      <c r="S36" s="44">
        <v>47</v>
      </c>
    </row>
    <row r="37" spans="1:19" ht="15.75" customHeight="1">
      <c r="A37" s="10"/>
      <c r="B37" s="10" t="s">
        <v>28</v>
      </c>
      <c r="C37" s="10" t="s">
        <v>76</v>
      </c>
      <c r="D37" s="10" t="s">
        <v>36</v>
      </c>
      <c r="E37" s="10"/>
      <c r="F37" s="10"/>
      <c r="G37" s="10"/>
      <c r="H37" s="10" t="s">
        <v>370</v>
      </c>
      <c r="I37" s="44">
        <v>113</v>
      </c>
      <c r="J37" s="46">
        <v>119</v>
      </c>
      <c r="K37" s="46">
        <v>137</v>
      </c>
      <c r="L37" s="46">
        <v>148</v>
      </c>
      <c r="M37" s="46">
        <v>325</v>
      </c>
      <c r="N37" s="44">
        <v>442</v>
      </c>
      <c r="O37" s="44">
        <v>709</v>
      </c>
      <c r="P37" s="46">
        <v>677</v>
      </c>
      <c r="Q37" s="46">
        <v>677</v>
      </c>
      <c r="R37" s="44">
        <v>30</v>
      </c>
      <c r="S37" s="44">
        <v>65</v>
      </c>
    </row>
    <row r="38" spans="1:19" ht="15.75" customHeight="1">
      <c r="A38" s="10"/>
      <c r="B38" s="10" t="s">
        <v>28</v>
      </c>
      <c r="C38" s="10" t="s">
        <v>78</v>
      </c>
      <c r="D38" s="10" t="s">
        <v>30</v>
      </c>
      <c r="E38" s="10"/>
      <c r="F38" s="10"/>
      <c r="G38" s="10"/>
      <c r="H38" s="10" t="s">
        <v>371</v>
      </c>
      <c r="I38" s="44">
        <v>77</v>
      </c>
      <c r="J38" s="44">
        <v>83</v>
      </c>
      <c r="K38" s="44">
        <v>101</v>
      </c>
      <c r="L38" s="44">
        <v>112</v>
      </c>
      <c r="M38" s="44">
        <v>265</v>
      </c>
      <c r="N38" s="44">
        <v>354</v>
      </c>
      <c r="O38" s="44">
        <v>412</v>
      </c>
      <c r="P38" s="44">
        <v>471</v>
      </c>
      <c r="Q38" s="44">
        <v>471</v>
      </c>
      <c r="R38" s="44">
        <v>12</v>
      </c>
      <c r="S38" s="44">
        <v>47</v>
      </c>
    </row>
    <row r="39" spans="1:19" ht="15.75" customHeight="1">
      <c r="A39" s="10"/>
      <c r="B39" s="10" t="s">
        <v>28</v>
      </c>
      <c r="C39" s="10" t="s">
        <v>78</v>
      </c>
      <c r="D39" s="10" t="s">
        <v>36</v>
      </c>
      <c r="E39" s="10"/>
      <c r="F39" s="10"/>
      <c r="G39" s="10"/>
      <c r="H39" s="10" t="s">
        <v>372</v>
      </c>
      <c r="I39" s="44">
        <v>113</v>
      </c>
      <c r="J39" s="46">
        <v>119</v>
      </c>
      <c r="K39" s="46">
        <v>137</v>
      </c>
      <c r="L39" s="46">
        <v>148</v>
      </c>
      <c r="M39" s="46">
        <v>325</v>
      </c>
      <c r="N39" s="44">
        <v>442</v>
      </c>
      <c r="O39" s="44">
        <v>709</v>
      </c>
      <c r="P39" s="46">
        <v>677</v>
      </c>
      <c r="Q39" s="46">
        <v>677</v>
      </c>
      <c r="R39" s="44">
        <v>30</v>
      </c>
      <c r="S39" s="44">
        <v>65</v>
      </c>
    </row>
    <row r="40" spans="1:19" ht="15.75" customHeight="1">
      <c r="A40" s="10"/>
      <c r="B40" s="10" t="s">
        <v>28</v>
      </c>
      <c r="C40" s="10" t="s">
        <v>81</v>
      </c>
      <c r="D40" s="10" t="s">
        <v>30</v>
      </c>
      <c r="E40" s="10"/>
      <c r="F40" s="10"/>
      <c r="G40" s="10"/>
      <c r="H40" s="10" t="s">
        <v>373</v>
      </c>
      <c r="I40" s="44">
        <v>77</v>
      </c>
      <c r="J40" s="44">
        <v>83</v>
      </c>
      <c r="K40" s="44">
        <v>101</v>
      </c>
      <c r="L40" s="44">
        <v>112</v>
      </c>
      <c r="M40" s="44">
        <v>295</v>
      </c>
      <c r="N40" s="44">
        <v>383</v>
      </c>
      <c r="O40" s="44">
        <v>442</v>
      </c>
      <c r="P40" s="44">
        <v>500</v>
      </c>
      <c r="Q40" s="46">
        <v>500</v>
      </c>
      <c r="R40" s="44">
        <v>12</v>
      </c>
      <c r="S40" s="44">
        <v>47</v>
      </c>
    </row>
    <row r="41" spans="1:19" ht="15.75" customHeight="1">
      <c r="A41" s="10"/>
      <c r="B41" s="10" t="s">
        <v>28</v>
      </c>
      <c r="C41" s="10" t="s">
        <v>81</v>
      </c>
      <c r="D41" s="10" t="s">
        <v>36</v>
      </c>
      <c r="E41" s="10"/>
      <c r="F41" s="10"/>
      <c r="G41" s="10"/>
      <c r="H41" s="10" t="s">
        <v>374</v>
      </c>
      <c r="I41" s="44">
        <v>113</v>
      </c>
      <c r="J41" s="46">
        <v>119</v>
      </c>
      <c r="K41" s="46">
        <v>137</v>
      </c>
      <c r="L41" s="46">
        <v>148</v>
      </c>
      <c r="M41" s="46">
        <v>355</v>
      </c>
      <c r="N41" s="44">
        <v>471</v>
      </c>
      <c r="O41" s="44">
        <v>768</v>
      </c>
      <c r="P41" s="46">
        <v>706</v>
      </c>
      <c r="Q41" s="46">
        <v>706</v>
      </c>
      <c r="R41" s="44">
        <v>30</v>
      </c>
      <c r="S41" s="44">
        <v>65</v>
      </c>
    </row>
    <row r="42" spans="1:19" ht="15.75" customHeight="1">
      <c r="A42" s="10"/>
      <c r="B42" s="10" t="s">
        <v>28</v>
      </c>
      <c r="C42" s="10" t="s">
        <v>84</v>
      </c>
      <c r="D42" s="10" t="s">
        <v>30</v>
      </c>
      <c r="E42" s="10"/>
      <c r="F42" s="10"/>
      <c r="G42" s="10"/>
      <c r="H42" s="10" t="s">
        <v>375</v>
      </c>
      <c r="I42" s="44">
        <v>77</v>
      </c>
      <c r="J42" s="44">
        <v>83</v>
      </c>
      <c r="K42" s="44">
        <v>101</v>
      </c>
      <c r="L42" s="44">
        <v>112</v>
      </c>
      <c r="M42" s="44">
        <v>295</v>
      </c>
      <c r="N42" s="44">
        <v>383</v>
      </c>
      <c r="O42" s="44">
        <v>442</v>
      </c>
      <c r="P42" s="44">
        <v>500</v>
      </c>
      <c r="Q42" s="46">
        <v>500</v>
      </c>
      <c r="R42" s="44">
        <v>12</v>
      </c>
      <c r="S42" s="44">
        <v>47</v>
      </c>
    </row>
    <row r="43" spans="1:19" ht="15.75" customHeight="1">
      <c r="A43" s="10"/>
      <c r="B43" s="10" t="s">
        <v>28</v>
      </c>
      <c r="C43" s="10" t="s">
        <v>84</v>
      </c>
      <c r="D43" s="10" t="s">
        <v>36</v>
      </c>
      <c r="E43" s="10"/>
      <c r="F43" s="10"/>
      <c r="G43" s="10"/>
      <c r="H43" s="10" t="s">
        <v>376</v>
      </c>
      <c r="I43" s="44">
        <v>113</v>
      </c>
      <c r="J43" s="46">
        <v>119</v>
      </c>
      <c r="K43" s="46">
        <v>137</v>
      </c>
      <c r="L43" s="46">
        <v>148</v>
      </c>
      <c r="M43" s="46">
        <v>355</v>
      </c>
      <c r="N43" s="44">
        <v>471</v>
      </c>
      <c r="O43" s="44">
        <v>768</v>
      </c>
      <c r="P43" s="46">
        <v>706</v>
      </c>
      <c r="Q43" s="46">
        <v>706</v>
      </c>
      <c r="R43" s="44">
        <v>30</v>
      </c>
      <c r="S43" s="44">
        <v>65</v>
      </c>
    </row>
    <row r="44" spans="1:19" ht="15.75" customHeight="1">
      <c r="A44" s="10"/>
      <c r="B44" s="10"/>
      <c r="C44" s="10"/>
      <c r="D44" s="10"/>
      <c r="E44" s="10"/>
      <c r="F44" s="10"/>
      <c r="G44" s="10"/>
      <c r="H44" s="10"/>
      <c r="I44" s="3"/>
      <c r="J44" s="3"/>
      <c r="K44" s="3"/>
      <c r="L44" s="3"/>
      <c r="M44" s="3"/>
      <c r="N44" s="3"/>
      <c r="O44" s="3"/>
      <c r="P44" s="3"/>
      <c r="Q44" s="3"/>
      <c r="R44" s="3"/>
      <c r="S44" s="3"/>
    </row>
    <row r="45" spans="1:19" ht="15.75" customHeight="1">
      <c r="A45" s="10"/>
      <c r="B45" s="10" t="s">
        <v>50</v>
      </c>
      <c r="C45" s="10" t="s">
        <v>53</v>
      </c>
      <c r="D45" s="10" t="s">
        <v>30</v>
      </c>
      <c r="E45" s="10"/>
      <c r="F45" s="10"/>
      <c r="G45" s="10"/>
      <c r="H45" s="10" t="s">
        <v>377</v>
      </c>
      <c r="I45" s="44">
        <v>30</v>
      </c>
      <c r="J45" s="44">
        <v>36</v>
      </c>
      <c r="K45" s="44">
        <v>47</v>
      </c>
      <c r="L45" s="44">
        <v>59</v>
      </c>
      <c r="M45" s="44">
        <v>100</v>
      </c>
      <c r="N45" s="44">
        <v>120</v>
      </c>
      <c r="O45" s="44">
        <v>120</v>
      </c>
      <c r="P45" s="44">
        <v>200</v>
      </c>
      <c r="Q45" s="44">
        <v>200</v>
      </c>
      <c r="R45" s="44">
        <v>12</v>
      </c>
      <c r="S45" s="44">
        <v>47</v>
      </c>
    </row>
    <row r="46" spans="1:19" ht="15.75" customHeight="1">
      <c r="A46" s="10"/>
      <c r="B46" s="10" t="s">
        <v>50</v>
      </c>
      <c r="C46" s="10" t="s">
        <v>76</v>
      </c>
      <c r="D46" s="10" t="s">
        <v>30</v>
      </c>
      <c r="E46" s="10"/>
      <c r="F46" s="10"/>
      <c r="G46" s="10"/>
      <c r="H46" s="10" t="s">
        <v>378</v>
      </c>
      <c r="I46" s="44">
        <v>30</v>
      </c>
      <c r="J46" s="44">
        <v>36</v>
      </c>
      <c r="K46" s="44">
        <v>47</v>
      </c>
      <c r="L46" s="44">
        <v>59</v>
      </c>
      <c r="M46" s="44">
        <v>100</v>
      </c>
      <c r="N46" s="44">
        <v>120</v>
      </c>
      <c r="O46" s="44">
        <v>147</v>
      </c>
      <c r="P46" s="44">
        <v>177</v>
      </c>
      <c r="Q46" s="44">
        <v>177</v>
      </c>
      <c r="R46" s="44">
        <v>12</v>
      </c>
      <c r="S46" s="44">
        <v>47</v>
      </c>
    </row>
    <row r="47" spans="1:19" ht="15.75" customHeight="1">
      <c r="A47" s="10"/>
      <c r="B47" s="10" t="s">
        <v>28</v>
      </c>
      <c r="C47" s="10" t="s">
        <v>379</v>
      </c>
      <c r="D47" s="10" t="s">
        <v>30</v>
      </c>
      <c r="E47" s="10"/>
      <c r="F47" s="10"/>
      <c r="G47" s="10"/>
      <c r="H47" s="10" t="s">
        <v>380</v>
      </c>
      <c r="I47" s="44">
        <v>30</v>
      </c>
      <c r="J47" s="44">
        <v>36</v>
      </c>
      <c r="K47" s="44">
        <v>47</v>
      </c>
      <c r="L47" s="44">
        <v>59</v>
      </c>
      <c r="M47" s="44">
        <v>165</v>
      </c>
      <c r="N47" s="44">
        <v>236</v>
      </c>
      <c r="O47" s="44">
        <v>295</v>
      </c>
      <c r="P47" s="44">
        <v>354</v>
      </c>
      <c r="Q47" s="44">
        <v>354</v>
      </c>
      <c r="R47" s="44">
        <v>12</v>
      </c>
      <c r="S47" s="44">
        <v>47</v>
      </c>
    </row>
    <row r="48" spans="1:19" ht="15.75" customHeight="1">
      <c r="A48" s="10"/>
      <c r="B48" s="10" t="s">
        <v>28</v>
      </c>
      <c r="C48" s="10" t="s">
        <v>91</v>
      </c>
      <c r="D48" s="10" t="s">
        <v>30</v>
      </c>
      <c r="E48" s="10"/>
      <c r="F48" s="10"/>
      <c r="G48" s="10"/>
      <c r="H48" s="10" t="s">
        <v>381</v>
      </c>
      <c r="I48" s="44">
        <v>65</v>
      </c>
      <c r="J48" s="44">
        <v>71</v>
      </c>
      <c r="K48" s="44">
        <v>112</v>
      </c>
      <c r="L48" s="44">
        <v>124</v>
      </c>
      <c r="M48" s="44">
        <v>324</v>
      </c>
      <c r="N48" s="44">
        <v>412</v>
      </c>
      <c r="O48" s="44">
        <v>471</v>
      </c>
      <c r="P48" s="44">
        <v>530</v>
      </c>
      <c r="Q48" s="44">
        <v>530</v>
      </c>
      <c r="R48" s="44">
        <v>12</v>
      </c>
      <c r="S48" s="44">
        <v>47</v>
      </c>
    </row>
    <row r="49" spans="1:19" ht="15.75" customHeight="1">
      <c r="A49" s="10"/>
      <c r="B49" s="10" t="s">
        <v>28</v>
      </c>
      <c r="C49" s="10" t="s">
        <v>94</v>
      </c>
      <c r="D49" s="10" t="s">
        <v>30</v>
      </c>
      <c r="E49" s="10"/>
      <c r="F49" s="10"/>
      <c r="G49" s="10"/>
      <c r="H49" s="10" t="s">
        <v>382</v>
      </c>
      <c r="I49" s="44">
        <v>89</v>
      </c>
      <c r="J49" s="44">
        <v>95</v>
      </c>
      <c r="K49" s="44">
        <v>112</v>
      </c>
      <c r="L49" s="44">
        <v>124</v>
      </c>
      <c r="M49" s="44">
        <v>324</v>
      </c>
      <c r="N49" s="44">
        <v>412</v>
      </c>
      <c r="O49" s="44">
        <v>471</v>
      </c>
      <c r="P49" s="44">
        <v>530</v>
      </c>
      <c r="Q49" s="44">
        <v>530</v>
      </c>
      <c r="R49" s="44">
        <v>12</v>
      </c>
      <c r="S49" s="44">
        <v>47</v>
      </c>
    </row>
    <row r="50" spans="1:19" ht="15.75" customHeight="1">
      <c r="A50" s="10"/>
      <c r="B50" s="10" t="s">
        <v>50</v>
      </c>
      <c r="C50" s="10" t="s">
        <v>97</v>
      </c>
      <c r="D50" s="10" t="s">
        <v>30</v>
      </c>
      <c r="E50" s="10"/>
      <c r="F50" s="10"/>
      <c r="G50" s="10"/>
      <c r="H50" s="10" t="s">
        <v>383</v>
      </c>
      <c r="I50" s="44">
        <v>71</v>
      </c>
      <c r="J50" s="44">
        <v>77</v>
      </c>
      <c r="K50" s="44">
        <v>89</v>
      </c>
      <c r="L50" s="44">
        <v>101</v>
      </c>
      <c r="M50" s="44">
        <v>147</v>
      </c>
      <c r="N50" s="44">
        <v>165</v>
      </c>
      <c r="O50" s="44">
        <v>177</v>
      </c>
      <c r="P50" s="44">
        <v>206</v>
      </c>
      <c r="Q50" s="44">
        <v>206</v>
      </c>
      <c r="R50" s="44">
        <v>12</v>
      </c>
      <c r="S50" s="44">
        <v>47</v>
      </c>
    </row>
    <row r="51" spans="1:19" ht="15.75" customHeight="1">
      <c r="A51" s="10"/>
      <c r="B51" s="10" t="s">
        <v>76</v>
      </c>
      <c r="C51" s="10" t="s">
        <v>78</v>
      </c>
      <c r="D51" s="10" t="s">
        <v>30</v>
      </c>
      <c r="E51" s="10"/>
      <c r="F51" s="10"/>
      <c r="G51" s="10"/>
      <c r="H51" s="10" t="s">
        <v>384</v>
      </c>
      <c r="I51" s="44">
        <v>59</v>
      </c>
      <c r="J51" s="44">
        <v>65</v>
      </c>
      <c r="K51" s="44">
        <v>71</v>
      </c>
      <c r="L51" s="44">
        <v>83</v>
      </c>
      <c r="M51" s="44">
        <v>118</v>
      </c>
      <c r="N51" s="44">
        <v>130</v>
      </c>
      <c r="O51" s="44">
        <v>147</v>
      </c>
      <c r="P51" s="44">
        <v>177</v>
      </c>
      <c r="Q51" s="44">
        <v>177</v>
      </c>
      <c r="R51" s="44">
        <v>12</v>
      </c>
      <c r="S51" s="44">
        <v>47</v>
      </c>
    </row>
    <row r="52" spans="1:19" ht="15.75" customHeight="1">
      <c r="A52" s="10"/>
      <c r="B52" s="10" t="s">
        <v>76</v>
      </c>
      <c r="C52" s="10" t="s">
        <v>94</v>
      </c>
      <c r="D52" s="10" t="s">
        <v>30</v>
      </c>
      <c r="E52" s="10"/>
      <c r="F52" s="10"/>
      <c r="G52" s="10"/>
      <c r="H52" s="10" t="s">
        <v>385</v>
      </c>
      <c r="I52" s="44">
        <v>36</v>
      </c>
      <c r="J52" s="44">
        <v>44</v>
      </c>
      <c r="K52" s="44">
        <v>71</v>
      </c>
      <c r="L52" s="44">
        <v>83</v>
      </c>
      <c r="M52" s="44">
        <v>100</v>
      </c>
      <c r="N52" s="44">
        <v>147</v>
      </c>
      <c r="O52" s="44">
        <v>177</v>
      </c>
      <c r="P52" s="44">
        <v>177</v>
      </c>
      <c r="Q52" s="44">
        <v>177</v>
      </c>
      <c r="R52" s="44">
        <v>12</v>
      </c>
      <c r="S52" s="44">
        <v>47</v>
      </c>
    </row>
    <row r="53" spans="1:19" ht="15.75" customHeight="1">
      <c r="A53" s="10"/>
      <c r="B53" s="10"/>
      <c r="C53" s="10"/>
      <c r="D53" s="10"/>
      <c r="E53" s="10"/>
      <c r="F53" s="10"/>
      <c r="G53" s="10"/>
      <c r="H53" s="10"/>
      <c r="I53" s="3"/>
      <c r="J53" s="3"/>
      <c r="K53" s="3"/>
      <c r="L53" s="3"/>
      <c r="M53" s="3"/>
      <c r="N53" s="3"/>
      <c r="O53" s="3"/>
      <c r="P53" s="3"/>
      <c r="Q53" s="3"/>
      <c r="R53" s="3"/>
      <c r="S53" s="3"/>
    </row>
    <row r="54" spans="1:19" ht="15.75" customHeight="1">
      <c r="A54" s="10"/>
      <c r="B54" s="10" t="s">
        <v>22</v>
      </c>
      <c r="C54" s="10" t="s">
        <v>100</v>
      </c>
      <c r="D54" s="72" t="s">
        <v>339</v>
      </c>
      <c r="E54" s="73"/>
      <c r="F54" s="10"/>
      <c r="G54" s="10"/>
      <c r="H54" s="10" t="s">
        <v>481</v>
      </c>
      <c r="I54" s="44">
        <v>41</v>
      </c>
      <c r="J54" s="44">
        <v>47</v>
      </c>
      <c r="K54" s="44">
        <v>47</v>
      </c>
      <c r="L54" s="44">
        <v>59</v>
      </c>
      <c r="M54" s="44">
        <v>130</v>
      </c>
      <c r="N54" s="44">
        <v>147</v>
      </c>
      <c r="O54" s="44">
        <v>177</v>
      </c>
      <c r="P54" s="44">
        <v>206</v>
      </c>
      <c r="Q54" s="44">
        <v>206</v>
      </c>
      <c r="R54" s="44">
        <v>12</v>
      </c>
      <c r="S54" s="44">
        <v>47</v>
      </c>
    </row>
    <row r="55" spans="1:19" ht="15.75" customHeight="1">
      <c r="A55" s="10"/>
      <c r="B55" s="10" t="s">
        <v>22</v>
      </c>
      <c r="C55" s="10" t="s">
        <v>103</v>
      </c>
      <c r="D55" s="72" t="s">
        <v>339</v>
      </c>
      <c r="E55" s="73"/>
      <c r="F55" s="10"/>
      <c r="G55" s="10"/>
      <c r="H55" s="10" t="s">
        <v>482</v>
      </c>
      <c r="I55" s="44">
        <v>41</v>
      </c>
      <c r="J55" s="44">
        <v>47</v>
      </c>
      <c r="K55" s="44">
        <v>47</v>
      </c>
      <c r="L55" s="44">
        <v>59</v>
      </c>
      <c r="M55" s="44">
        <v>130</v>
      </c>
      <c r="N55" s="44">
        <v>147</v>
      </c>
      <c r="O55" s="44">
        <v>177</v>
      </c>
      <c r="P55" s="44">
        <v>206</v>
      </c>
      <c r="Q55" s="44">
        <v>206</v>
      </c>
      <c r="R55" s="44">
        <v>12</v>
      </c>
      <c r="S55" s="44">
        <v>47</v>
      </c>
    </row>
    <row r="56" spans="1:19" ht="15.75" customHeight="1">
      <c r="A56" s="10"/>
      <c r="B56" s="10" t="s">
        <v>22</v>
      </c>
      <c r="C56" s="10" t="s">
        <v>105</v>
      </c>
      <c r="D56" s="72" t="s">
        <v>339</v>
      </c>
      <c r="E56" s="73"/>
      <c r="F56" s="10"/>
      <c r="G56" s="10"/>
      <c r="H56" s="10" t="s">
        <v>483</v>
      </c>
      <c r="I56" s="44">
        <v>41</v>
      </c>
      <c r="J56" s="44">
        <v>47</v>
      </c>
      <c r="K56" s="44">
        <v>47</v>
      </c>
      <c r="L56" s="44">
        <v>59</v>
      </c>
      <c r="M56" s="44">
        <v>130</v>
      </c>
      <c r="N56" s="44">
        <v>147</v>
      </c>
      <c r="O56" s="44">
        <v>177</v>
      </c>
      <c r="P56" s="44">
        <v>206</v>
      </c>
      <c r="Q56" s="44">
        <v>206</v>
      </c>
      <c r="R56" s="44">
        <v>12</v>
      </c>
      <c r="S56" s="44">
        <v>47</v>
      </c>
    </row>
    <row r="57" spans="1:19" ht="15.75" customHeight="1">
      <c r="A57" s="10"/>
      <c r="B57" s="10" t="s">
        <v>22</v>
      </c>
      <c r="C57" s="10" t="s">
        <v>107</v>
      </c>
      <c r="D57" s="72" t="s">
        <v>339</v>
      </c>
      <c r="E57" s="73"/>
      <c r="F57" s="10"/>
      <c r="G57" s="10"/>
      <c r="H57" s="10" t="s">
        <v>484</v>
      </c>
      <c r="I57" s="44">
        <v>41</v>
      </c>
      <c r="J57" s="44">
        <v>47</v>
      </c>
      <c r="K57" s="44">
        <v>47</v>
      </c>
      <c r="L57" s="44">
        <v>59</v>
      </c>
      <c r="M57" s="44">
        <v>130</v>
      </c>
      <c r="N57" s="44">
        <v>147</v>
      </c>
      <c r="O57" s="44">
        <v>177</v>
      </c>
      <c r="P57" s="44">
        <v>206</v>
      </c>
      <c r="Q57" s="44">
        <v>206</v>
      </c>
      <c r="R57" s="44">
        <v>12</v>
      </c>
      <c r="S57" s="44">
        <v>47</v>
      </c>
    </row>
    <row r="58" spans="1:19" ht="15.75" customHeight="1">
      <c r="A58" s="10"/>
      <c r="B58" s="10" t="s">
        <v>22</v>
      </c>
      <c r="C58" s="10" t="s">
        <v>109</v>
      </c>
      <c r="D58" s="72" t="s">
        <v>339</v>
      </c>
      <c r="E58" s="73"/>
      <c r="F58" s="10"/>
      <c r="G58" s="10"/>
      <c r="H58" s="10" t="s">
        <v>485</v>
      </c>
      <c r="I58" s="44">
        <v>41</v>
      </c>
      <c r="J58" s="44">
        <v>47</v>
      </c>
      <c r="K58" s="44">
        <v>47</v>
      </c>
      <c r="L58" s="44">
        <v>59</v>
      </c>
      <c r="M58" s="44">
        <v>130</v>
      </c>
      <c r="N58" s="44">
        <v>147</v>
      </c>
      <c r="O58" s="44">
        <v>177</v>
      </c>
      <c r="P58" s="44">
        <v>206</v>
      </c>
      <c r="Q58" s="44">
        <v>206</v>
      </c>
      <c r="R58" s="44">
        <v>12</v>
      </c>
      <c r="S58" s="44">
        <v>47</v>
      </c>
    </row>
    <row r="59" spans="1:19" ht="15.75" customHeight="1">
      <c r="A59" s="10"/>
      <c r="B59" s="10" t="s">
        <v>22</v>
      </c>
      <c r="C59" s="10" t="s">
        <v>111</v>
      </c>
      <c r="D59" s="72" t="s">
        <v>339</v>
      </c>
      <c r="E59" s="73"/>
      <c r="F59" s="10"/>
      <c r="G59" s="10"/>
      <c r="H59" s="10" t="s">
        <v>486</v>
      </c>
      <c r="I59" s="44">
        <v>36</v>
      </c>
      <c r="J59" s="44">
        <v>41</v>
      </c>
      <c r="K59" s="44">
        <v>47</v>
      </c>
      <c r="L59" s="44">
        <v>59</v>
      </c>
      <c r="M59" s="44">
        <v>189</v>
      </c>
      <c r="N59" s="44">
        <v>147</v>
      </c>
      <c r="O59" s="44">
        <v>177</v>
      </c>
      <c r="P59" s="44">
        <v>206</v>
      </c>
      <c r="Q59" s="44">
        <v>206</v>
      </c>
      <c r="R59" s="44">
        <v>12</v>
      </c>
      <c r="S59" s="44">
        <v>47</v>
      </c>
    </row>
    <row r="60" spans="1:19" ht="15.75" customHeight="1">
      <c r="A60" s="10"/>
      <c r="B60" s="10" t="s">
        <v>22</v>
      </c>
      <c r="C60" s="10" t="s">
        <v>113</v>
      </c>
      <c r="D60" s="72" t="s">
        <v>339</v>
      </c>
      <c r="E60" s="73"/>
      <c r="F60" s="10"/>
      <c r="G60" s="10"/>
      <c r="H60" s="10" t="s">
        <v>487</v>
      </c>
      <c r="I60" s="44">
        <v>41</v>
      </c>
      <c r="J60" s="44">
        <v>41</v>
      </c>
      <c r="K60" s="44">
        <v>47</v>
      </c>
      <c r="L60" s="44">
        <v>59</v>
      </c>
      <c r="M60" s="44">
        <v>153</v>
      </c>
      <c r="N60" s="44">
        <v>177</v>
      </c>
      <c r="O60" s="44">
        <v>206</v>
      </c>
      <c r="P60" s="44">
        <v>236</v>
      </c>
      <c r="Q60" s="44">
        <v>236</v>
      </c>
      <c r="R60" s="44">
        <v>12</v>
      </c>
      <c r="S60" s="44">
        <v>47</v>
      </c>
    </row>
    <row r="61" spans="1:19" ht="15.75" customHeight="1">
      <c r="A61" s="10"/>
      <c r="B61" s="10" t="s">
        <v>22</v>
      </c>
      <c r="C61" s="10" t="s">
        <v>115</v>
      </c>
      <c r="D61" s="72" t="s">
        <v>339</v>
      </c>
      <c r="E61" s="73"/>
      <c r="F61" s="10"/>
      <c r="G61" s="10"/>
      <c r="H61" s="10" t="s">
        <v>488</v>
      </c>
      <c r="I61" s="44">
        <v>41</v>
      </c>
      <c r="J61" s="44">
        <v>47</v>
      </c>
      <c r="K61" s="44">
        <v>47</v>
      </c>
      <c r="L61" s="44">
        <v>59</v>
      </c>
      <c r="M61" s="44">
        <v>130</v>
      </c>
      <c r="N61" s="44">
        <v>147</v>
      </c>
      <c r="O61" s="44">
        <v>177</v>
      </c>
      <c r="P61" s="44">
        <v>206</v>
      </c>
      <c r="Q61" s="44">
        <v>206</v>
      </c>
      <c r="R61" s="44">
        <v>12</v>
      </c>
      <c r="S61" s="44">
        <v>47</v>
      </c>
    </row>
    <row r="62" spans="1:19" ht="15.75" customHeight="1">
      <c r="A62" s="10"/>
      <c r="B62" s="10" t="s">
        <v>22</v>
      </c>
      <c r="C62" s="10" t="s">
        <v>117</v>
      </c>
      <c r="D62" s="72" t="s">
        <v>339</v>
      </c>
      <c r="E62" s="73"/>
      <c r="F62" s="10"/>
      <c r="G62" s="10"/>
      <c r="H62" s="10" t="s">
        <v>487</v>
      </c>
      <c r="I62" s="44">
        <v>41</v>
      </c>
      <c r="J62" s="44">
        <v>32</v>
      </c>
      <c r="K62" s="44">
        <v>29</v>
      </c>
      <c r="L62" s="44">
        <v>31</v>
      </c>
      <c r="M62" s="44">
        <v>130</v>
      </c>
      <c r="N62" s="44">
        <v>147</v>
      </c>
      <c r="O62" s="44">
        <v>177</v>
      </c>
      <c r="P62" s="44">
        <v>206</v>
      </c>
      <c r="Q62" s="44">
        <v>206</v>
      </c>
      <c r="R62" s="44">
        <v>12</v>
      </c>
      <c r="S62" s="44">
        <v>47</v>
      </c>
    </row>
    <row r="63" spans="1:19" ht="15.75" customHeight="1">
      <c r="A63" s="10"/>
      <c r="B63" s="10" t="s">
        <v>22</v>
      </c>
      <c r="C63" s="10" t="s">
        <v>119</v>
      </c>
      <c r="D63" s="72" t="s">
        <v>339</v>
      </c>
      <c r="E63" s="73"/>
      <c r="F63" s="10"/>
      <c r="G63" s="10"/>
      <c r="H63" s="10" t="s">
        <v>489</v>
      </c>
      <c r="I63" s="44">
        <v>41</v>
      </c>
      <c r="J63" s="44">
        <v>47</v>
      </c>
      <c r="K63" s="44">
        <v>47</v>
      </c>
      <c r="L63" s="44">
        <v>59</v>
      </c>
      <c r="M63" s="44">
        <v>130</v>
      </c>
      <c r="N63" s="44">
        <v>147</v>
      </c>
      <c r="O63" s="44">
        <v>177</v>
      </c>
      <c r="P63" s="44">
        <v>206</v>
      </c>
      <c r="Q63" s="44">
        <v>206</v>
      </c>
      <c r="R63" s="44">
        <v>12</v>
      </c>
      <c r="S63" s="44">
        <v>47</v>
      </c>
    </row>
    <row r="64" spans="1:19" ht="15.75" customHeight="1">
      <c r="A64" s="10"/>
      <c r="B64" s="10" t="s">
        <v>22</v>
      </c>
      <c r="C64" s="10" t="s">
        <v>121</v>
      </c>
      <c r="D64" s="72" t="s">
        <v>339</v>
      </c>
      <c r="E64" s="73"/>
      <c r="F64" s="10"/>
      <c r="G64" s="10"/>
      <c r="H64" s="10" t="s">
        <v>490</v>
      </c>
      <c r="I64" s="44">
        <v>41</v>
      </c>
      <c r="J64" s="44">
        <v>47</v>
      </c>
      <c r="K64" s="44">
        <v>47</v>
      </c>
      <c r="L64" s="44">
        <v>59</v>
      </c>
      <c r="M64" s="44">
        <v>130</v>
      </c>
      <c r="N64" s="44">
        <v>147</v>
      </c>
      <c r="O64" s="44">
        <v>177</v>
      </c>
      <c r="P64" s="44">
        <v>206</v>
      </c>
      <c r="Q64" s="44">
        <v>206</v>
      </c>
      <c r="R64" s="44">
        <v>12</v>
      </c>
      <c r="S64" s="44">
        <v>47</v>
      </c>
    </row>
    <row r="65" spans="1:19" ht="15.75" customHeight="1">
      <c r="A65" s="10"/>
      <c r="B65" s="10" t="s">
        <v>22</v>
      </c>
      <c r="C65" s="10" t="s">
        <v>123</v>
      </c>
      <c r="D65" s="72" t="s">
        <v>339</v>
      </c>
      <c r="E65" s="73"/>
      <c r="F65" s="10"/>
      <c r="G65" s="10"/>
      <c r="H65" s="10" t="s">
        <v>491</v>
      </c>
      <c r="I65" s="44">
        <v>41</v>
      </c>
      <c r="J65" s="44">
        <v>47</v>
      </c>
      <c r="K65" s="44">
        <v>47</v>
      </c>
      <c r="L65" s="44">
        <v>59</v>
      </c>
      <c r="M65" s="44">
        <v>130</v>
      </c>
      <c r="N65" s="44">
        <v>147</v>
      </c>
      <c r="O65" s="44">
        <v>177</v>
      </c>
      <c r="P65" s="44">
        <v>206</v>
      </c>
      <c r="Q65" s="44">
        <v>206</v>
      </c>
      <c r="R65" s="44">
        <v>12</v>
      </c>
      <c r="S65" s="44">
        <v>47</v>
      </c>
    </row>
    <row r="66" spans="1:19" ht="15.75" customHeight="1">
      <c r="A66" s="10"/>
      <c r="B66" s="10" t="s">
        <v>22</v>
      </c>
      <c r="C66" s="10" t="s">
        <v>125</v>
      </c>
      <c r="D66" s="72" t="s">
        <v>339</v>
      </c>
      <c r="E66" s="73"/>
      <c r="F66" s="10"/>
      <c r="G66" s="10"/>
      <c r="H66" s="10" t="s">
        <v>487</v>
      </c>
      <c r="I66" s="44">
        <v>41</v>
      </c>
      <c r="J66" s="44">
        <v>47</v>
      </c>
      <c r="K66" s="44">
        <v>47</v>
      </c>
      <c r="L66" s="44">
        <v>59</v>
      </c>
      <c r="M66" s="44">
        <v>130</v>
      </c>
      <c r="N66" s="44">
        <v>147</v>
      </c>
      <c r="O66" s="44">
        <v>177</v>
      </c>
      <c r="P66" s="44">
        <v>206</v>
      </c>
      <c r="Q66" s="44">
        <v>206</v>
      </c>
      <c r="R66" s="44">
        <v>12</v>
      </c>
      <c r="S66" s="44">
        <v>47</v>
      </c>
    </row>
    <row r="67" spans="1:19" ht="15.75" customHeight="1">
      <c r="A67" s="10"/>
      <c r="B67" s="10" t="s">
        <v>22</v>
      </c>
      <c r="C67" s="10" t="s">
        <v>127</v>
      </c>
      <c r="D67" s="72" t="s">
        <v>339</v>
      </c>
      <c r="E67" s="73"/>
      <c r="F67" s="10"/>
      <c r="G67" s="10"/>
      <c r="H67" s="10" t="s">
        <v>492</v>
      </c>
      <c r="I67" s="44">
        <v>41</v>
      </c>
      <c r="J67" s="44">
        <v>47</v>
      </c>
      <c r="K67" s="44">
        <v>47</v>
      </c>
      <c r="L67" s="44">
        <v>59</v>
      </c>
      <c r="M67" s="44">
        <v>118</v>
      </c>
      <c r="N67" s="44">
        <v>147</v>
      </c>
      <c r="O67" s="44">
        <v>177</v>
      </c>
      <c r="P67" s="44">
        <v>206</v>
      </c>
      <c r="Q67" s="44">
        <v>206</v>
      </c>
      <c r="R67" s="44">
        <v>12</v>
      </c>
      <c r="S67" s="44">
        <v>47</v>
      </c>
    </row>
    <row r="68" spans="1:19" ht="15.75" customHeight="1">
      <c r="A68" s="10"/>
      <c r="B68" s="10" t="s">
        <v>22</v>
      </c>
      <c r="C68" s="10" t="s">
        <v>129</v>
      </c>
      <c r="D68" s="72" t="s">
        <v>339</v>
      </c>
      <c r="E68" s="73"/>
      <c r="F68" s="10"/>
      <c r="G68" s="10"/>
      <c r="H68" s="10" t="s">
        <v>493</v>
      </c>
      <c r="I68" s="44">
        <v>41</v>
      </c>
      <c r="J68" s="44">
        <v>47</v>
      </c>
      <c r="K68" s="44">
        <v>47</v>
      </c>
      <c r="L68" s="44">
        <v>59</v>
      </c>
      <c r="M68" s="44">
        <v>118</v>
      </c>
      <c r="N68" s="44">
        <v>147</v>
      </c>
      <c r="O68" s="44">
        <v>177</v>
      </c>
      <c r="P68" s="44">
        <v>206</v>
      </c>
      <c r="Q68" s="44">
        <v>206</v>
      </c>
      <c r="R68" s="44">
        <v>12</v>
      </c>
      <c r="S68" s="44">
        <v>47</v>
      </c>
    </row>
    <row r="69" spans="1:19" ht="15.75" customHeight="1">
      <c r="A69" s="10"/>
      <c r="B69" s="10" t="s">
        <v>22</v>
      </c>
      <c r="C69" s="10" t="s">
        <v>131</v>
      </c>
      <c r="D69" s="72" t="s">
        <v>339</v>
      </c>
      <c r="E69" s="73"/>
      <c r="F69" s="10"/>
      <c r="G69" s="10"/>
      <c r="H69" s="10" t="s">
        <v>494</v>
      </c>
      <c r="I69" s="44">
        <v>41</v>
      </c>
      <c r="J69" s="44">
        <v>47</v>
      </c>
      <c r="K69" s="44">
        <v>47</v>
      </c>
      <c r="L69" s="44">
        <v>59</v>
      </c>
      <c r="M69" s="44">
        <v>118</v>
      </c>
      <c r="N69" s="44">
        <v>147</v>
      </c>
      <c r="O69" s="44">
        <v>177</v>
      </c>
      <c r="P69" s="44">
        <v>206</v>
      </c>
      <c r="Q69" s="44">
        <v>206</v>
      </c>
      <c r="R69" s="44">
        <v>12</v>
      </c>
      <c r="S69" s="44">
        <v>47</v>
      </c>
    </row>
    <row r="70" spans="1:19" ht="15.75" customHeight="1">
      <c r="A70" s="10"/>
      <c r="B70" s="10" t="s">
        <v>22</v>
      </c>
      <c r="C70" s="10" t="s">
        <v>133</v>
      </c>
      <c r="D70" s="72" t="s">
        <v>339</v>
      </c>
      <c r="E70" s="73"/>
      <c r="F70" s="10"/>
      <c r="G70" s="10"/>
      <c r="H70" s="10" t="s">
        <v>495</v>
      </c>
      <c r="I70" s="44">
        <v>41</v>
      </c>
      <c r="J70" s="44">
        <v>47</v>
      </c>
      <c r="K70" s="44">
        <v>47</v>
      </c>
      <c r="L70" s="44">
        <v>59</v>
      </c>
      <c r="M70" s="44">
        <v>118</v>
      </c>
      <c r="N70" s="44">
        <v>147</v>
      </c>
      <c r="O70" s="44">
        <v>177</v>
      </c>
      <c r="P70" s="44">
        <v>206</v>
      </c>
      <c r="Q70" s="44">
        <v>206</v>
      </c>
      <c r="R70" s="44">
        <v>12</v>
      </c>
      <c r="S70" s="44">
        <v>47</v>
      </c>
    </row>
    <row r="71" spans="1:19" ht="15.75" customHeight="1">
      <c r="A71" s="10"/>
      <c r="B71" s="10" t="s">
        <v>22</v>
      </c>
      <c r="C71" s="10" t="s">
        <v>135</v>
      </c>
      <c r="D71" s="72" t="s">
        <v>339</v>
      </c>
      <c r="E71" s="73"/>
      <c r="F71" s="10"/>
      <c r="G71" s="10"/>
      <c r="H71" s="10" t="s">
        <v>496</v>
      </c>
      <c r="I71" s="44">
        <v>41</v>
      </c>
      <c r="J71" s="44">
        <v>47</v>
      </c>
      <c r="K71" s="44">
        <v>47</v>
      </c>
      <c r="L71" s="44">
        <v>59</v>
      </c>
      <c r="M71" s="44">
        <v>118</v>
      </c>
      <c r="N71" s="44">
        <v>147</v>
      </c>
      <c r="O71" s="44">
        <v>177</v>
      </c>
      <c r="P71" s="44">
        <v>206</v>
      </c>
      <c r="Q71" s="44">
        <v>206</v>
      </c>
      <c r="R71" s="44">
        <v>12</v>
      </c>
      <c r="S71" s="44">
        <v>47</v>
      </c>
    </row>
    <row r="72" spans="1:19" ht="15.75" customHeight="1">
      <c r="A72" s="10"/>
      <c r="B72" s="10" t="s">
        <v>22</v>
      </c>
      <c r="C72" s="10" t="s">
        <v>137</v>
      </c>
      <c r="D72" s="72" t="s">
        <v>339</v>
      </c>
      <c r="E72" s="73"/>
      <c r="F72" s="10"/>
      <c r="G72" s="10"/>
      <c r="H72" s="10" t="s">
        <v>492</v>
      </c>
      <c r="I72" s="44">
        <v>30</v>
      </c>
      <c r="J72" s="44">
        <v>36</v>
      </c>
      <c r="K72" s="44">
        <v>41</v>
      </c>
      <c r="L72" s="44">
        <v>53</v>
      </c>
      <c r="M72" s="44">
        <v>130</v>
      </c>
      <c r="N72" s="44">
        <v>147</v>
      </c>
      <c r="O72" s="44">
        <v>177</v>
      </c>
      <c r="P72" s="44">
        <v>206</v>
      </c>
      <c r="Q72" s="44">
        <v>206</v>
      </c>
      <c r="R72" s="44">
        <v>12</v>
      </c>
      <c r="S72" s="44">
        <v>47</v>
      </c>
    </row>
    <row r="73" spans="1:19" ht="15.75" customHeight="1">
      <c r="A73" s="10"/>
      <c r="B73" s="10" t="s">
        <v>22</v>
      </c>
      <c r="C73" s="10" t="s">
        <v>139</v>
      </c>
      <c r="D73" s="72" t="s">
        <v>339</v>
      </c>
      <c r="E73" s="73"/>
      <c r="F73" s="10"/>
      <c r="G73" s="10"/>
      <c r="H73" s="10" t="s">
        <v>497</v>
      </c>
      <c r="I73" s="44">
        <v>41</v>
      </c>
      <c r="J73" s="44">
        <v>47</v>
      </c>
      <c r="K73" s="44">
        <v>47</v>
      </c>
      <c r="L73" s="44">
        <v>59</v>
      </c>
      <c r="M73" s="44">
        <v>118</v>
      </c>
      <c r="N73" s="44">
        <v>147</v>
      </c>
      <c r="O73" s="44">
        <v>177</v>
      </c>
      <c r="P73" s="44">
        <v>206</v>
      </c>
      <c r="Q73" s="44">
        <v>206</v>
      </c>
      <c r="R73" s="44">
        <v>12</v>
      </c>
      <c r="S73" s="44">
        <v>47</v>
      </c>
    </row>
    <row r="74" spans="1:19" ht="15.75" customHeight="1">
      <c r="A74" s="10"/>
      <c r="B74" s="10" t="s">
        <v>22</v>
      </c>
      <c r="C74" s="10" t="s">
        <v>141</v>
      </c>
      <c r="D74" s="72" t="s">
        <v>339</v>
      </c>
      <c r="E74" s="73"/>
      <c r="F74" s="10"/>
      <c r="G74" s="10"/>
      <c r="H74" s="10" t="s">
        <v>492</v>
      </c>
      <c r="I74" s="44">
        <v>29</v>
      </c>
      <c r="J74" s="44">
        <v>32</v>
      </c>
      <c r="K74" s="44">
        <v>29</v>
      </c>
      <c r="L74" s="44">
        <v>31</v>
      </c>
      <c r="M74" s="44">
        <v>118</v>
      </c>
      <c r="N74" s="44">
        <v>147</v>
      </c>
      <c r="O74" s="44">
        <v>177</v>
      </c>
      <c r="P74" s="44">
        <v>206</v>
      </c>
      <c r="Q74" s="44">
        <v>206</v>
      </c>
      <c r="R74" s="44">
        <v>12</v>
      </c>
      <c r="S74" s="44">
        <v>47</v>
      </c>
    </row>
    <row r="75" spans="1:19" ht="15.75" customHeight="1">
      <c r="A75" s="10"/>
      <c r="B75" s="10" t="s">
        <v>22</v>
      </c>
      <c r="C75" s="10" t="s">
        <v>143</v>
      </c>
      <c r="D75" s="72" t="s">
        <v>339</v>
      </c>
      <c r="E75" s="73"/>
      <c r="F75" s="10"/>
      <c r="G75" s="10"/>
      <c r="H75" s="10" t="s">
        <v>498</v>
      </c>
      <c r="I75" s="44">
        <v>41</v>
      </c>
      <c r="J75" s="44">
        <v>47</v>
      </c>
      <c r="K75" s="44">
        <v>47</v>
      </c>
      <c r="L75" s="44">
        <v>59</v>
      </c>
      <c r="M75" s="44">
        <v>118</v>
      </c>
      <c r="N75" s="44">
        <v>147</v>
      </c>
      <c r="O75" s="44">
        <v>177</v>
      </c>
      <c r="P75" s="44">
        <v>206</v>
      </c>
      <c r="Q75" s="44">
        <v>206</v>
      </c>
      <c r="R75" s="44">
        <v>12</v>
      </c>
      <c r="S75" s="44">
        <v>47</v>
      </c>
    </row>
    <row r="76" spans="1:19" ht="15.75" customHeight="1">
      <c r="A76" s="10"/>
      <c r="B76" s="10" t="s">
        <v>22</v>
      </c>
      <c r="C76" s="10" t="s">
        <v>145</v>
      </c>
      <c r="D76" s="72" t="s">
        <v>339</v>
      </c>
      <c r="E76" s="73"/>
      <c r="F76" s="10"/>
      <c r="G76" s="10"/>
      <c r="H76" s="10" t="s">
        <v>499</v>
      </c>
      <c r="I76" s="44">
        <v>41</v>
      </c>
      <c r="J76" s="44">
        <v>47</v>
      </c>
      <c r="K76" s="44">
        <v>47</v>
      </c>
      <c r="L76" s="44">
        <v>59</v>
      </c>
      <c r="M76" s="44">
        <v>118</v>
      </c>
      <c r="N76" s="44">
        <v>147</v>
      </c>
      <c r="O76" s="44">
        <v>177</v>
      </c>
      <c r="P76" s="44">
        <v>206</v>
      </c>
      <c r="Q76" s="44">
        <v>206</v>
      </c>
      <c r="R76" s="44">
        <v>12</v>
      </c>
      <c r="S76" s="44">
        <v>47</v>
      </c>
    </row>
    <row r="77" spans="1:19" ht="15.75" customHeight="1">
      <c r="A77" s="10"/>
      <c r="B77" s="10" t="s">
        <v>22</v>
      </c>
      <c r="C77" s="10" t="s">
        <v>147</v>
      </c>
      <c r="D77" s="72" t="s">
        <v>339</v>
      </c>
      <c r="E77" s="73"/>
      <c r="F77" s="10"/>
      <c r="G77" s="10"/>
      <c r="H77" s="10" t="s">
        <v>500</v>
      </c>
      <c r="I77" s="44">
        <v>41</v>
      </c>
      <c r="J77" s="44">
        <v>47</v>
      </c>
      <c r="K77" s="44">
        <v>47</v>
      </c>
      <c r="L77" s="44">
        <v>59</v>
      </c>
      <c r="M77" s="44">
        <v>118</v>
      </c>
      <c r="N77" s="44">
        <v>147</v>
      </c>
      <c r="O77" s="44">
        <v>177</v>
      </c>
      <c r="P77" s="44">
        <v>206</v>
      </c>
      <c r="Q77" s="44">
        <v>206</v>
      </c>
      <c r="R77" s="44">
        <v>12</v>
      </c>
      <c r="S77" s="44">
        <v>47</v>
      </c>
    </row>
    <row r="78" spans="1:19" ht="15.75" customHeight="1">
      <c r="A78" s="10"/>
      <c r="B78" s="10" t="s">
        <v>22</v>
      </c>
      <c r="C78" s="10" t="s">
        <v>149</v>
      </c>
      <c r="D78" s="72" t="s">
        <v>339</v>
      </c>
      <c r="E78" s="73"/>
      <c r="F78" s="10"/>
      <c r="G78" s="10"/>
      <c r="H78" s="10" t="s">
        <v>492</v>
      </c>
      <c r="I78" s="44">
        <v>41</v>
      </c>
      <c r="J78" s="44">
        <v>47</v>
      </c>
      <c r="K78" s="44">
        <v>47</v>
      </c>
      <c r="L78" s="44">
        <v>59</v>
      </c>
      <c r="M78" s="44">
        <v>118</v>
      </c>
      <c r="N78" s="44">
        <v>147</v>
      </c>
      <c r="O78" s="44">
        <v>177</v>
      </c>
      <c r="P78" s="44">
        <v>206</v>
      </c>
      <c r="Q78" s="44">
        <v>206</v>
      </c>
      <c r="R78" s="44">
        <v>12</v>
      </c>
      <c r="S78" s="44">
        <v>47</v>
      </c>
    </row>
    <row r="79" spans="1:19" ht="15.75" customHeight="1">
      <c r="A79" s="10"/>
      <c r="B79" s="10" t="s">
        <v>22</v>
      </c>
      <c r="C79" s="10" t="s">
        <v>151</v>
      </c>
      <c r="D79" s="72" t="s">
        <v>339</v>
      </c>
      <c r="E79" s="73"/>
      <c r="F79" s="10"/>
      <c r="G79" s="10"/>
      <c r="H79" s="10" t="s">
        <v>501</v>
      </c>
      <c r="I79" s="44">
        <v>35</v>
      </c>
      <c r="J79" s="44">
        <v>38</v>
      </c>
      <c r="K79" s="44">
        <v>40</v>
      </c>
      <c r="L79" s="44">
        <v>50</v>
      </c>
      <c r="M79" s="44">
        <v>88</v>
      </c>
      <c r="N79" s="44">
        <v>147</v>
      </c>
      <c r="O79" s="44">
        <v>177</v>
      </c>
      <c r="P79" s="44">
        <v>206</v>
      </c>
      <c r="Q79" s="44">
        <v>206</v>
      </c>
      <c r="R79" s="44">
        <v>12</v>
      </c>
      <c r="S79" s="44">
        <v>47</v>
      </c>
    </row>
    <row r="80" spans="1:19" ht="15.75" customHeight="1">
      <c r="A80" s="10"/>
      <c r="B80" s="10" t="s">
        <v>22</v>
      </c>
      <c r="C80" s="10" t="s">
        <v>153</v>
      </c>
      <c r="D80" s="72" t="s">
        <v>339</v>
      </c>
      <c r="E80" s="73"/>
      <c r="F80" s="10"/>
      <c r="G80" s="10"/>
      <c r="H80" s="10" t="s">
        <v>502</v>
      </c>
      <c r="I80" s="44">
        <v>35</v>
      </c>
      <c r="J80" s="44">
        <v>38</v>
      </c>
      <c r="K80" s="44">
        <v>40</v>
      </c>
      <c r="L80" s="44">
        <v>50</v>
      </c>
      <c r="M80" s="44">
        <v>88</v>
      </c>
      <c r="N80" s="44">
        <v>147</v>
      </c>
      <c r="O80" s="44">
        <v>177</v>
      </c>
      <c r="P80" s="44">
        <v>206</v>
      </c>
      <c r="Q80" s="44">
        <v>206</v>
      </c>
      <c r="R80" s="44">
        <v>12</v>
      </c>
      <c r="S80" s="44">
        <v>47</v>
      </c>
    </row>
    <row r="81" spans="1:19" ht="15.75" customHeight="1">
      <c r="A81" s="10"/>
      <c r="B81" s="10" t="s">
        <v>22</v>
      </c>
      <c r="C81" s="10" t="s">
        <v>155</v>
      </c>
      <c r="D81" s="72" t="s">
        <v>339</v>
      </c>
      <c r="E81" s="73"/>
      <c r="F81" s="10"/>
      <c r="G81" s="10"/>
      <c r="H81" s="10" t="s">
        <v>503</v>
      </c>
      <c r="I81" s="44">
        <v>35</v>
      </c>
      <c r="J81" s="44">
        <v>38</v>
      </c>
      <c r="K81" s="44">
        <v>40</v>
      </c>
      <c r="L81" s="44">
        <v>50</v>
      </c>
      <c r="M81" s="44">
        <v>88</v>
      </c>
      <c r="N81" s="44">
        <v>147</v>
      </c>
      <c r="O81" s="44">
        <v>177</v>
      </c>
      <c r="P81" s="44">
        <v>206</v>
      </c>
      <c r="Q81" s="44">
        <v>206</v>
      </c>
      <c r="R81" s="44">
        <v>12</v>
      </c>
      <c r="S81" s="44">
        <v>47</v>
      </c>
    </row>
    <row r="82" spans="1:19" ht="15.75" customHeight="1">
      <c r="A82" s="10"/>
      <c r="B82" s="10" t="s">
        <v>22</v>
      </c>
      <c r="C82" s="10" t="s">
        <v>158</v>
      </c>
      <c r="D82" s="72" t="s">
        <v>339</v>
      </c>
      <c r="E82" s="73"/>
      <c r="F82" s="10"/>
      <c r="G82" s="10"/>
      <c r="H82" s="10" t="s">
        <v>504</v>
      </c>
      <c r="I82" s="44">
        <v>35</v>
      </c>
      <c r="J82" s="44">
        <v>38</v>
      </c>
      <c r="K82" s="44">
        <v>40</v>
      </c>
      <c r="L82" s="44">
        <v>50</v>
      </c>
      <c r="M82" s="44">
        <v>88</v>
      </c>
      <c r="N82" s="44">
        <v>147</v>
      </c>
      <c r="O82" s="44">
        <v>177</v>
      </c>
      <c r="P82" s="44">
        <v>206</v>
      </c>
      <c r="Q82" s="44">
        <v>206</v>
      </c>
      <c r="R82" s="44">
        <v>12</v>
      </c>
      <c r="S82" s="44">
        <v>47</v>
      </c>
    </row>
    <row r="83" spans="1:19" ht="15.75" customHeight="1">
      <c r="A83" s="10"/>
      <c r="B83" s="10" t="s">
        <v>22</v>
      </c>
      <c r="C83" s="10" t="s">
        <v>160</v>
      </c>
      <c r="D83" s="72" t="s">
        <v>339</v>
      </c>
      <c r="E83" s="73"/>
      <c r="F83" s="10"/>
      <c r="G83" s="10"/>
      <c r="H83" s="10" t="s">
        <v>502</v>
      </c>
      <c r="I83" s="44">
        <v>35</v>
      </c>
      <c r="J83" s="44">
        <v>38</v>
      </c>
      <c r="K83" s="44">
        <v>40</v>
      </c>
      <c r="L83" s="44">
        <v>50</v>
      </c>
      <c r="M83" s="44">
        <v>124</v>
      </c>
      <c r="N83" s="44">
        <v>147</v>
      </c>
      <c r="O83" s="44">
        <v>177</v>
      </c>
      <c r="P83" s="44">
        <v>206</v>
      </c>
      <c r="Q83" s="44">
        <v>206</v>
      </c>
      <c r="R83" s="44">
        <v>12</v>
      </c>
      <c r="S83" s="44">
        <v>47</v>
      </c>
    </row>
    <row r="84" spans="1:19" ht="15.75" customHeight="1">
      <c r="A84" s="10"/>
      <c r="B84" s="10" t="s">
        <v>22</v>
      </c>
      <c r="C84" s="10" t="s">
        <v>162</v>
      </c>
      <c r="D84" s="72" t="s">
        <v>339</v>
      </c>
      <c r="E84" s="73"/>
      <c r="F84" s="10"/>
      <c r="G84" s="10"/>
      <c r="H84" s="10" t="s">
        <v>505</v>
      </c>
      <c r="I84" s="44">
        <v>35</v>
      </c>
      <c r="J84" s="44">
        <v>38</v>
      </c>
      <c r="K84" s="44">
        <v>40</v>
      </c>
      <c r="L84" s="44">
        <v>50</v>
      </c>
      <c r="M84" s="44">
        <v>88</v>
      </c>
      <c r="N84" s="44">
        <v>147</v>
      </c>
      <c r="O84" s="44">
        <v>177</v>
      </c>
      <c r="P84" s="44">
        <v>206</v>
      </c>
      <c r="Q84" s="44">
        <v>206</v>
      </c>
      <c r="R84" s="44">
        <v>12</v>
      </c>
      <c r="S84" s="44">
        <v>47</v>
      </c>
    </row>
    <row r="85" spans="1:19" ht="15.75" customHeight="1">
      <c r="A85" s="10"/>
      <c r="B85" s="10" t="s">
        <v>22</v>
      </c>
      <c r="C85" s="10" t="s">
        <v>164</v>
      </c>
      <c r="D85" s="72" t="s">
        <v>339</v>
      </c>
      <c r="E85" s="73"/>
      <c r="F85" s="10"/>
      <c r="G85" s="10"/>
      <c r="H85" s="10" t="s">
        <v>502</v>
      </c>
      <c r="I85" s="44">
        <v>35</v>
      </c>
      <c r="J85" s="44">
        <v>38</v>
      </c>
      <c r="K85" s="44">
        <v>40</v>
      </c>
      <c r="L85" s="44">
        <v>50</v>
      </c>
      <c r="M85" s="44">
        <v>88</v>
      </c>
      <c r="N85" s="44">
        <v>147</v>
      </c>
      <c r="O85" s="44">
        <v>177</v>
      </c>
      <c r="P85" s="44">
        <v>206</v>
      </c>
      <c r="Q85" s="44">
        <v>206</v>
      </c>
      <c r="R85" s="44">
        <v>12</v>
      </c>
      <c r="S85" s="44">
        <v>47</v>
      </c>
    </row>
    <row r="86" spans="1:19" ht="15.75" customHeight="1">
      <c r="A86" s="10"/>
      <c r="B86" s="10" t="s">
        <v>22</v>
      </c>
      <c r="C86" s="10" t="s">
        <v>414</v>
      </c>
      <c r="D86" s="72" t="s">
        <v>339</v>
      </c>
      <c r="E86" s="73"/>
      <c r="F86" s="10"/>
      <c r="G86" s="10"/>
      <c r="H86" s="10" t="s">
        <v>506</v>
      </c>
      <c r="I86" s="44">
        <v>35</v>
      </c>
      <c r="J86" s="44">
        <v>38</v>
      </c>
      <c r="K86" s="44">
        <v>40</v>
      </c>
      <c r="L86" s="44">
        <v>50</v>
      </c>
      <c r="M86" s="44">
        <v>88</v>
      </c>
      <c r="N86" s="44">
        <v>147</v>
      </c>
      <c r="O86" s="44">
        <v>177</v>
      </c>
      <c r="P86" s="44">
        <v>206</v>
      </c>
      <c r="Q86" s="44">
        <v>206</v>
      </c>
      <c r="R86" s="44">
        <v>12</v>
      </c>
      <c r="S86" s="44">
        <v>47</v>
      </c>
    </row>
    <row r="87" spans="1:19" ht="15.75" customHeight="1">
      <c r="A87" s="10"/>
      <c r="B87" s="10" t="s">
        <v>22</v>
      </c>
      <c r="C87" s="10" t="s">
        <v>416</v>
      </c>
      <c r="D87" s="72" t="s">
        <v>339</v>
      </c>
      <c r="E87" s="73"/>
      <c r="F87" s="10"/>
      <c r="G87" s="10"/>
      <c r="H87" s="10" t="s">
        <v>507</v>
      </c>
      <c r="I87" s="44">
        <v>35</v>
      </c>
      <c r="J87" s="44">
        <v>38</v>
      </c>
      <c r="K87" s="44">
        <v>40</v>
      </c>
      <c r="L87" s="44">
        <v>50</v>
      </c>
      <c r="M87" s="44">
        <v>88</v>
      </c>
      <c r="N87" s="44">
        <v>147</v>
      </c>
      <c r="O87" s="44">
        <v>177</v>
      </c>
      <c r="P87" s="44">
        <v>206</v>
      </c>
      <c r="Q87" s="44">
        <v>206</v>
      </c>
      <c r="R87" s="44">
        <v>12</v>
      </c>
      <c r="S87" s="44">
        <v>47</v>
      </c>
    </row>
    <row r="88" spans="1:19" ht="15.75" customHeight="1">
      <c r="A88" s="10"/>
      <c r="B88" s="10" t="s">
        <v>22</v>
      </c>
      <c r="C88" s="10" t="s">
        <v>170</v>
      </c>
      <c r="D88" s="72" t="s">
        <v>339</v>
      </c>
      <c r="E88" s="73"/>
      <c r="F88" s="10"/>
      <c r="G88" s="10"/>
      <c r="H88" s="10" t="s">
        <v>508</v>
      </c>
      <c r="I88" s="44">
        <v>35</v>
      </c>
      <c r="J88" s="44">
        <v>38</v>
      </c>
      <c r="K88" s="44">
        <v>40</v>
      </c>
      <c r="L88" s="44">
        <v>50</v>
      </c>
      <c r="M88" s="44">
        <v>88</v>
      </c>
      <c r="N88" s="44">
        <v>147</v>
      </c>
      <c r="O88" s="44">
        <v>177</v>
      </c>
      <c r="P88" s="44">
        <v>206</v>
      </c>
      <c r="Q88" s="44">
        <v>206</v>
      </c>
      <c r="R88" s="44">
        <v>12</v>
      </c>
      <c r="S88" s="44">
        <v>47</v>
      </c>
    </row>
    <row r="89" spans="1:19" ht="15.75" customHeight="1">
      <c r="A89" s="10"/>
      <c r="B89" s="10" t="s">
        <v>22</v>
      </c>
      <c r="C89" s="10" t="s">
        <v>172</v>
      </c>
      <c r="D89" s="72" t="s">
        <v>339</v>
      </c>
      <c r="E89" s="73"/>
      <c r="F89" s="10"/>
      <c r="G89" s="10"/>
      <c r="H89" s="10" t="s">
        <v>502</v>
      </c>
      <c r="I89" s="44">
        <v>35</v>
      </c>
      <c r="J89" s="44">
        <v>38</v>
      </c>
      <c r="K89" s="44">
        <v>40</v>
      </c>
      <c r="L89" s="44">
        <v>50</v>
      </c>
      <c r="M89" s="44">
        <v>88</v>
      </c>
      <c r="N89" s="44">
        <v>147</v>
      </c>
      <c r="O89" s="44">
        <v>177</v>
      </c>
      <c r="P89" s="44">
        <v>206</v>
      </c>
      <c r="Q89" s="44">
        <v>206</v>
      </c>
      <c r="R89" s="44">
        <v>12</v>
      </c>
      <c r="S89" s="44">
        <v>47</v>
      </c>
    </row>
    <row r="90" spans="1:19" ht="15.75" customHeight="1">
      <c r="A90" s="10"/>
      <c r="B90" s="10" t="s">
        <v>22</v>
      </c>
      <c r="C90" s="10" t="s">
        <v>174</v>
      </c>
      <c r="D90" s="72" t="s">
        <v>339</v>
      </c>
      <c r="E90" s="73"/>
      <c r="F90" s="10"/>
      <c r="G90" s="10"/>
      <c r="H90" s="10" t="s">
        <v>509</v>
      </c>
      <c r="I90" s="44">
        <v>35</v>
      </c>
      <c r="J90" s="44">
        <v>38</v>
      </c>
      <c r="K90" s="44">
        <v>40</v>
      </c>
      <c r="L90" s="44">
        <v>50</v>
      </c>
      <c r="M90" s="44">
        <v>88</v>
      </c>
      <c r="N90" s="44">
        <v>147</v>
      </c>
      <c r="O90" s="44">
        <v>177</v>
      </c>
      <c r="P90" s="44">
        <v>206</v>
      </c>
      <c r="Q90" s="44">
        <v>206</v>
      </c>
      <c r="R90" s="44">
        <v>12</v>
      </c>
      <c r="S90" s="44">
        <v>47</v>
      </c>
    </row>
    <row r="91" spans="1:19" ht="15.75" customHeight="1">
      <c r="A91" s="10"/>
      <c r="B91" s="10" t="s">
        <v>22</v>
      </c>
      <c r="C91" s="10" t="s">
        <v>176</v>
      </c>
      <c r="D91" s="72" t="s">
        <v>339</v>
      </c>
      <c r="E91" s="73"/>
      <c r="F91" s="10"/>
      <c r="G91" s="10"/>
      <c r="H91" s="10" t="s">
        <v>510</v>
      </c>
      <c r="I91" s="44">
        <v>35</v>
      </c>
      <c r="J91" s="44">
        <v>38</v>
      </c>
      <c r="K91" s="44">
        <v>40</v>
      </c>
      <c r="L91" s="44">
        <v>50</v>
      </c>
      <c r="M91" s="44">
        <v>88</v>
      </c>
      <c r="N91" s="44">
        <v>147</v>
      </c>
      <c r="O91" s="44">
        <v>177</v>
      </c>
      <c r="P91" s="44">
        <v>206</v>
      </c>
      <c r="Q91" s="44">
        <v>206</v>
      </c>
      <c r="R91" s="44">
        <v>12</v>
      </c>
      <c r="S91" s="44">
        <v>47</v>
      </c>
    </row>
    <row r="92" spans="1:19" ht="15.75" customHeight="1">
      <c r="A92" s="10"/>
      <c r="B92" s="10" t="s">
        <v>22</v>
      </c>
      <c r="C92" s="10" t="s">
        <v>178</v>
      </c>
      <c r="D92" s="72" t="s">
        <v>339</v>
      </c>
      <c r="E92" s="73"/>
      <c r="F92" s="10"/>
      <c r="G92" s="10"/>
      <c r="H92" s="10" t="s">
        <v>511</v>
      </c>
      <c r="I92" s="44">
        <v>35</v>
      </c>
      <c r="J92" s="44">
        <v>38</v>
      </c>
      <c r="K92" s="44">
        <v>40</v>
      </c>
      <c r="L92" s="44">
        <v>50</v>
      </c>
      <c r="M92" s="44">
        <v>88</v>
      </c>
      <c r="N92" s="44">
        <v>147</v>
      </c>
      <c r="O92" s="44">
        <v>177</v>
      </c>
      <c r="P92" s="44">
        <v>206</v>
      </c>
      <c r="Q92" s="44">
        <v>206</v>
      </c>
      <c r="R92" s="44">
        <v>12</v>
      </c>
      <c r="S92" s="44">
        <v>47</v>
      </c>
    </row>
    <row r="93" spans="1:19" ht="15.75" customHeight="1">
      <c r="A93" s="10"/>
      <c r="B93" s="10" t="s">
        <v>22</v>
      </c>
      <c r="C93" s="10" t="s">
        <v>180</v>
      </c>
      <c r="D93" s="72" t="s">
        <v>339</v>
      </c>
      <c r="E93" s="73"/>
      <c r="F93" s="10"/>
      <c r="G93" s="10"/>
      <c r="H93" s="10" t="s">
        <v>509</v>
      </c>
      <c r="I93" s="44">
        <v>41</v>
      </c>
      <c r="J93" s="44">
        <v>47</v>
      </c>
      <c r="K93" s="44">
        <v>47</v>
      </c>
      <c r="L93" s="44">
        <v>59</v>
      </c>
      <c r="M93" s="44">
        <v>124</v>
      </c>
      <c r="N93" s="44">
        <v>147</v>
      </c>
      <c r="O93" s="44">
        <v>177</v>
      </c>
      <c r="P93" s="44">
        <v>206</v>
      </c>
      <c r="Q93" s="44">
        <v>206</v>
      </c>
      <c r="R93" s="44">
        <v>12</v>
      </c>
      <c r="S93" s="44">
        <v>47</v>
      </c>
    </row>
    <row r="94" spans="1:19" ht="15.75" customHeight="1">
      <c r="A94" s="10"/>
      <c r="B94" s="10" t="s">
        <v>22</v>
      </c>
      <c r="C94" s="10" t="s">
        <v>182</v>
      </c>
      <c r="D94" s="72" t="s">
        <v>339</v>
      </c>
      <c r="E94" s="73"/>
      <c r="F94" s="10"/>
      <c r="G94" s="10"/>
      <c r="H94" s="10" t="s">
        <v>512</v>
      </c>
      <c r="I94" s="44">
        <v>35</v>
      </c>
      <c r="J94" s="44">
        <v>38</v>
      </c>
      <c r="K94" s="44">
        <v>40</v>
      </c>
      <c r="L94" s="44">
        <v>50</v>
      </c>
      <c r="M94" s="44">
        <v>88</v>
      </c>
      <c r="N94" s="44">
        <v>147</v>
      </c>
      <c r="O94" s="44">
        <v>177</v>
      </c>
      <c r="P94" s="44">
        <v>206</v>
      </c>
      <c r="Q94" s="44">
        <v>206</v>
      </c>
      <c r="R94" s="44">
        <v>12</v>
      </c>
      <c r="S94" s="44">
        <v>47</v>
      </c>
    </row>
    <row r="95" spans="1:19" ht="15.75" customHeight="1">
      <c r="A95" s="10"/>
      <c r="B95" s="10" t="s">
        <v>22</v>
      </c>
      <c r="C95" s="10" t="s">
        <v>184</v>
      </c>
      <c r="D95" s="72" t="s">
        <v>339</v>
      </c>
      <c r="E95" s="73"/>
      <c r="F95" s="10"/>
      <c r="G95" s="10"/>
      <c r="H95" s="10" t="s">
        <v>509</v>
      </c>
      <c r="I95" s="44">
        <v>35</v>
      </c>
      <c r="J95" s="44">
        <v>38</v>
      </c>
      <c r="K95" s="44">
        <v>40</v>
      </c>
      <c r="L95" s="44">
        <v>50</v>
      </c>
      <c r="M95" s="44">
        <v>88</v>
      </c>
      <c r="N95" s="44">
        <v>147</v>
      </c>
      <c r="O95" s="44">
        <v>177</v>
      </c>
      <c r="P95" s="44">
        <v>206</v>
      </c>
      <c r="Q95" s="44">
        <v>206</v>
      </c>
      <c r="R95" s="44">
        <v>12</v>
      </c>
      <c r="S95" s="44">
        <v>47</v>
      </c>
    </row>
    <row r="96" spans="1:19" ht="15.75" customHeight="1">
      <c r="A96" s="10"/>
      <c r="B96" s="10" t="s">
        <v>22</v>
      </c>
      <c r="C96" s="10" t="s">
        <v>186</v>
      </c>
      <c r="D96" s="72" t="s">
        <v>339</v>
      </c>
      <c r="E96" s="73"/>
      <c r="F96" s="10"/>
      <c r="G96" s="10"/>
      <c r="H96" s="10" t="s">
        <v>513</v>
      </c>
      <c r="I96" s="44">
        <v>35</v>
      </c>
      <c r="J96" s="44">
        <v>38</v>
      </c>
      <c r="K96" s="44">
        <v>40</v>
      </c>
      <c r="L96" s="44">
        <v>50</v>
      </c>
      <c r="M96" s="44">
        <v>88</v>
      </c>
      <c r="N96" s="44">
        <v>147</v>
      </c>
      <c r="O96" s="44">
        <v>177</v>
      </c>
      <c r="P96" s="44">
        <v>206</v>
      </c>
      <c r="Q96" s="44">
        <v>206</v>
      </c>
      <c r="R96" s="44">
        <v>12</v>
      </c>
      <c r="S96" s="44">
        <v>47</v>
      </c>
    </row>
    <row r="97" spans="1:19" ht="15.75" customHeight="1">
      <c r="A97" s="10"/>
      <c r="B97" s="10" t="s">
        <v>22</v>
      </c>
      <c r="C97" s="10" t="s">
        <v>188</v>
      </c>
      <c r="D97" s="72" t="s">
        <v>339</v>
      </c>
      <c r="E97" s="73"/>
      <c r="F97" s="10"/>
      <c r="G97" s="10"/>
      <c r="H97" s="10" t="s">
        <v>514</v>
      </c>
      <c r="I97" s="44">
        <v>35</v>
      </c>
      <c r="J97" s="44">
        <v>38</v>
      </c>
      <c r="K97" s="44">
        <v>40</v>
      </c>
      <c r="L97" s="44">
        <v>50</v>
      </c>
      <c r="M97" s="44">
        <v>88</v>
      </c>
      <c r="N97" s="44">
        <v>147</v>
      </c>
      <c r="O97" s="44">
        <v>177</v>
      </c>
      <c r="P97" s="44">
        <v>206</v>
      </c>
      <c r="Q97" s="44">
        <v>206</v>
      </c>
      <c r="R97" s="44">
        <v>12</v>
      </c>
      <c r="S97" s="44">
        <v>47</v>
      </c>
    </row>
    <row r="98" spans="1:19" ht="15.75" customHeight="1">
      <c r="A98" s="10"/>
      <c r="B98" s="10" t="s">
        <v>22</v>
      </c>
      <c r="C98" s="10" t="s">
        <v>190</v>
      </c>
      <c r="D98" s="72" t="s">
        <v>339</v>
      </c>
      <c r="E98" s="73"/>
      <c r="F98" s="10"/>
      <c r="G98" s="10"/>
      <c r="H98" s="10" t="s">
        <v>509</v>
      </c>
      <c r="I98" s="44">
        <v>35</v>
      </c>
      <c r="J98" s="44">
        <v>38</v>
      </c>
      <c r="K98" s="44">
        <v>40</v>
      </c>
      <c r="L98" s="44">
        <v>50</v>
      </c>
      <c r="M98" s="44">
        <v>88</v>
      </c>
      <c r="N98" s="44">
        <v>147</v>
      </c>
      <c r="O98" s="44">
        <v>177</v>
      </c>
      <c r="P98" s="44">
        <v>206</v>
      </c>
      <c r="Q98" s="44">
        <v>206</v>
      </c>
      <c r="R98" s="44">
        <v>12</v>
      </c>
      <c r="S98" s="44">
        <v>47</v>
      </c>
    </row>
    <row r="99" spans="1:19" ht="15.75" customHeight="1">
      <c r="A99" s="10"/>
      <c r="B99" s="10" t="s">
        <v>22</v>
      </c>
      <c r="C99" s="10" t="s">
        <v>192</v>
      </c>
      <c r="D99" s="72" t="s">
        <v>339</v>
      </c>
      <c r="E99" s="73"/>
      <c r="F99" s="10"/>
      <c r="G99" s="10"/>
      <c r="H99" s="10" t="s">
        <v>515</v>
      </c>
      <c r="I99" s="44">
        <v>35</v>
      </c>
      <c r="J99" s="44">
        <v>38</v>
      </c>
      <c r="K99" s="44">
        <v>40</v>
      </c>
      <c r="L99" s="44">
        <v>50</v>
      </c>
      <c r="M99" s="44">
        <v>88</v>
      </c>
      <c r="N99" s="44">
        <v>147</v>
      </c>
      <c r="O99" s="44">
        <v>177</v>
      </c>
      <c r="P99" s="44">
        <v>206</v>
      </c>
      <c r="Q99" s="44">
        <v>206</v>
      </c>
      <c r="R99" s="44">
        <v>12</v>
      </c>
      <c r="S99" s="44">
        <v>47</v>
      </c>
    </row>
    <row r="100" spans="1:19" ht="15.75" customHeight="1">
      <c r="A100" s="10"/>
      <c r="B100" s="10" t="s">
        <v>22</v>
      </c>
      <c r="C100" s="10" t="s">
        <v>194</v>
      </c>
      <c r="D100" s="72" t="s">
        <v>339</v>
      </c>
      <c r="E100" s="73"/>
      <c r="F100" s="10"/>
      <c r="G100" s="10"/>
      <c r="H100" s="10" t="s">
        <v>516</v>
      </c>
      <c r="I100" s="44">
        <v>35</v>
      </c>
      <c r="J100" s="44">
        <v>38</v>
      </c>
      <c r="K100" s="44">
        <v>40</v>
      </c>
      <c r="L100" s="44">
        <v>50</v>
      </c>
      <c r="M100" s="44">
        <v>88</v>
      </c>
      <c r="N100" s="44">
        <v>147</v>
      </c>
      <c r="O100" s="44">
        <v>177</v>
      </c>
      <c r="P100" s="44">
        <v>206</v>
      </c>
      <c r="Q100" s="44">
        <v>206</v>
      </c>
      <c r="R100" s="44">
        <v>12</v>
      </c>
      <c r="S100" s="44">
        <v>47</v>
      </c>
    </row>
    <row r="101" spans="1:19" ht="15.75" customHeight="1">
      <c r="A101" s="10"/>
      <c r="B101" s="10" t="s">
        <v>22</v>
      </c>
      <c r="C101" s="10" t="s">
        <v>196</v>
      </c>
      <c r="D101" s="72" t="s">
        <v>339</v>
      </c>
      <c r="E101" s="73"/>
      <c r="F101" s="10"/>
      <c r="G101" s="10"/>
      <c r="H101" s="10" t="s">
        <v>517</v>
      </c>
      <c r="I101" s="44">
        <v>41</v>
      </c>
      <c r="J101" s="44">
        <v>47</v>
      </c>
      <c r="K101" s="44">
        <v>47</v>
      </c>
      <c r="L101" s="44">
        <v>59</v>
      </c>
      <c r="M101" s="44">
        <v>124</v>
      </c>
      <c r="N101" s="44">
        <v>147</v>
      </c>
      <c r="O101" s="44">
        <v>177</v>
      </c>
      <c r="P101" s="44">
        <v>206</v>
      </c>
      <c r="Q101" s="44">
        <v>206</v>
      </c>
      <c r="R101" s="44">
        <v>12</v>
      </c>
      <c r="S101" s="44">
        <v>47</v>
      </c>
    </row>
    <row r="102" spans="1:19" ht="15.75" customHeight="1">
      <c r="A102" s="10"/>
      <c r="B102" s="10" t="s">
        <v>22</v>
      </c>
      <c r="C102" s="10" t="s">
        <v>198</v>
      </c>
      <c r="D102" s="72" t="s">
        <v>339</v>
      </c>
      <c r="E102" s="73"/>
      <c r="F102" s="10"/>
      <c r="G102" s="10"/>
      <c r="H102" s="10" t="s">
        <v>518</v>
      </c>
      <c r="I102" s="44">
        <v>35</v>
      </c>
      <c r="J102" s="44">
        <v>38</v>
      </c>
      <c r="K102" s="44">
        <v>40</v>
      </c>
      <c r="L102" s="44">
        <v>50</v>
      </c>
      <c r="M102" s="44">
        <v>88</v>
      </c>
      <c r="N102" s="44">
        <v>147</v>
      </c>
      <c r="O102" s="44">
        <v>177</v>
      </c>
      <c r="P102" s="44">
        <v>206</v>
      </c>
      <c r="Q102" s="44">
        <v>206</v>
      </c>
      <c r="R102" s="44">
        <v>12</v>
      </c>
      <c r="S102" s="44">
        <v>47</v>
      </c>
    </row>
    <row r="103" spans="1:19" ht="15.75" customHeight="1">
      <c r="A103" s="10"/>
      <c r="B103" s="10" t="s">
        <v>22</v>
      </c>
      <c r="C103" s="10" t="s">
        <v>200</v>
      </c>
      <c r="D103" s="72" t="s">
        <v>339</v>
      </c>
      <c r="E103" s="73"/>
      <c r="F103" s="10"/>
      <c r="G103" s="10"/>
      <c r="H103" s="10" t="s">
        <v>517</v>
      </c>
      <c r="I103" s="44">
        <v>35</v>
      </c>
      <c r="J103" s="44">
        <v>38</v>
      </c>
      <c r="K103" s="44">
        <v>40</v>
      </c>
      <c r="L103" s="44">
        <v>50</v>
      </c>
      <c r="M103" s="44">
        <v>88</v>
      </c>
      <c r="N103" s="44">
        <v>147</v>
      </c>
      <c r="O103" s="44">
        <v>177</v>
      </c>
      <c r="P103" s="44">
        <v>206</v>
      </c>
      <c r="Q103" s="44">
        <v>206</v>
      </c>
      <c r="R103" s="44">
        <v>12</v>
      </c>
      <c r="S103" s="44">
        <v>47</v>
      </c>
    </row>
    <row r="104" spans="1:19" ht="15.75" customHeight="1">
      <c r="A104" s="10"/>
      <c r="B104" s="10" t="s">
        <v>22</v>
      </c>
      <c r="C104" s="10" t="s">
        <v>202</v>
      </c>
      <c r="D104" s="72" t="s">
        <v>339</v>
      </c>
      <c r="E104" s="73"/>
      <c r="F104" s="10"/>
      <c r="G104" s="10"/>
      <c r="H104" s="10" t="s">
        <v>519</v>
      </c>
      <c r="I104" s="44">
        <v>35</v>
      </c>
      <c r="J104" s="44">
        <v>38</v>
      </c>
      <c r="K104" s="44">
        <v>40</v>
      </c>
      <c r="L104" s="44">
        <v>50</v>
      </c>
      <c r="M104" s="44">
        <v>88</v>
      </c>
      <c r="N104" s="44">
        <v>147</v>
      </c>
      <c r="O104" s="44">
        <v>177</v>
      </c>
      <c r="P104" s="44">
        <v>206</v>
      </c>
      <c r="Q104" s="44">
        <v>206</v>
      </c>
      <c r="R104" s="44">
        <v>12</v>
      </c>
      <c r="S104" s="44">
        <v>47</v>
      </c>
    </row>
    <row r="105" spans="1:19" ht="15.75" customHeight="1">
      <c r="A105" s="10"/>
      <c r="B105" s="10" t="s">
        <v>22</v>
      </c>
      <c r="C105" s="10" t="s">
        <v>204</v>
      </c>
      <c r="D105" s="72" t="s">
        <v>339</v>
      </c>
      <c r="E105" s="73"/>
      <c r="F105" s="10"/>
      <c r="G105" s="10"/>
      <c r="H105" s="10" t="s">
        <v>520</v>
      </c>
      <c r="I105" s="44">
        <v>35</v>
      </c>
      <c r="J105" s="44">
        <v>38</v>
      </c>
      <c r="K105" s="44">
        <v>40</v>
      </c>
      <c r="L105" s="44">
        <v>50</v>
      </c>
      <c r="M105" s="44">
        <v>88</v>
      </c>
      <c r="N105" s="44">
        <v>147</v>
      </c>
      <c r="O105" s="44">
        <v>177</v>
      </c>
      <c r="P105" s="44">
        <v>206</v>
      </c>
      <c r="Q105" s="44">
        <v>206</v>
      </c>
      <c r="R105" s="44">
        <v>12</v>
      </c>
      <c r="S105" s="44">
        <v>47</v>
      </c>
    </row>
    <row r="106" spans="1:19" ht="15.75" customHeight="1">
      <c r="A106" s="10"/>
      <c r="B106" s="10" t="s">
        <v>22</v>
      </c>
      <c r="C106" s="10" t="s">
        <v>206</v>
      </c>
      <c r="D106" s="72" t="s">
        <v>339</v>
      </c>
      <c r="E106" s="73"/>
      <c r="F106" s="10"/>
      <c r="G106" s="10"/>
      <c r="H106" s="10" t="s">
        <v>517</v>
      </c>
      <c r="I106" s="44">
        <v>35</v>
      </c>
      <c r="J106" s="44">
        <v>38</v>
      </c>
      <c r="K106" s="44">
        <v>40</v>
      </c>
      <c r="L106" s="44">
        <v>50</v>
      </c>
      <c r="M106" s="44">
        <v>88</v>
      </c>
      <c r="N106" s="44">
        <v>147</v>
      </c>
      <c r="O106" s="44">
        <v>177</v>
      </c>
      <c r="P106" s="44">
        <v>206</v>
      </c>
      <c r="Q106" s="44">
        <v>206</v>
      </c>
      <c r="R106" s="44">
        <v>12</v>
      </c>
      <c r="S106" s="44">
        <v>47</v>
      </c>
    </row>
    <row r="107" spans="1:19" ht="15.75" customHeight="1">
      <c r="A107" s="10"/>
      <c r="B107" s="10" t="s">
        <v>22</v>
      </c>
      <c r="C107" s="10" t="s">
        <v>208</v>
      </c>
      <c r="D107" s="72" t="s">
        <v>339</v>
      </c>
      <c r="E107" s="73"/>
      <c r="F107" s="10"/>
      <c r="G107" s="10"/>
      <c r="H107" s="10" t="s">
        <v>521</v>
      </c>
      <c r="I107" s="44">
        <v>35</v>
      </c>
      <c r="J107" s="44">
        <v>38</v>
      </c>
      <c r="K107" s="44">
        <v>40</v>
      </c>
      <c r="L107" s="44">
        <v>50</v>
      </c>
      <c r="M107" s="44">
        <v>88</v>
      </c>
      <c r="N107" s="44">
        <v>147</v>
      </c>
      <c r="O107" s="44">
        <v>177</v>
      </c>
      <c r="P107" s="44">
        <v>206</v>
      </c>
      <c r="Q107" s="44">
        <v>206</v>
      </c>
      <c r="R107" s="44">
        <v>12</v>
      </c>
      <c r="S107" s="44">
        <v>47</v>
      </c>
    </row>
    <row r="108" spans="1:19" ht="15.75" customHeight="1">
      <c r="A108" s="10"/>
      <c r="B108" s="10" t="s">
        <v>22</v>
      </c>
      <c r="C108" s="10" t="s">
        <v>210</v>
      </c>
      <c r="D108" s="72" t="s">
        <v>339</v>
      </c>
      <c r="E108" s="73"/>
      <c r="F108" s="10"/>
      <c r="G108" s="10"/>
      <c r="H108" s="10" t="s">
        <v>522</v>
      </c>
      <c r="I108" s="44">
        <v>41</v>
      </c>
      <c r="J108" s="44">
        <v>47</v>
      </c>
      <c r="K108" s="44">
        <v>47</v>
      </c>
      <c r="L108" s="44">
        <v>59</v>
      </c>
      <c r="M108" s="44">
        <v>124</v>
      </c>
      <c r="N108" s="44">
        <v>147</v>
      </c>
      <c r="O108" s="44">
        <v>177</v>
      </c>
      <c r="P108" s="44">
        <v>206</v>
      </c>
      <c r="Q108" s="44">
        <v>206</v>
      </c>
      <c r="R108" s="44">
        <v>12</v>
      </c>
      <c r="S108" s="44">
        <v>47</v>
      </c>
    </row>
    <row r="109" spans="1:19" ht="15.75" customHeight="1">
      <c r="A109" s="10"/>
      <c r="B109" s="10" t="s">
        <v>22</v>
      </c>
      <c r="C109" s="10" t="s">
        <v>212</v>
      </c>
      <c r="D109" s="72" t="s">
        <v>339</v>
      </c>
      <c r="E109" s="73"/>
      <c r="F109" s="10"/>
      <c r="G109" s="10"/>
      <c r="H109" s="10" t="s">
        <v>523</v>
      </c>
      <c r="I109" s="44">
        <v>35</v>
      </c>
      <c r="J109" s="44">
        <v>38</v>
      </c>
      <c r="K109" s="44">
        <v>40</v>
      </c>
      <c r="L109" s="44">
        <v>50</v>
      </c>
      <c r="M109" s="44">
        <v>88</v>
      </c>
      <c r="N109" s="44">
        <v>147</v>
      </c>
      <c r="O109" s="44">
        <v>177</v>
      </c>
      <c r="P109" s="44">
        <v>206</v>
      </c>
      <c r="Q109" s="44">
        <v>206</v>
      </c>
      <c r="R109" s="44">
        <v>12</v>
      </c>
      <c r="S109" s="44">
        <v>47</v>
      </c>
    </row>
    <row r="110" spans="1:19" ht="15.75" customHeight="1">
      <c r="A110" s="10"/>
      <c r="B110" s="10" t="s">
        <v>22</v>
      </c>
      <c r="C110" s="10" t="s">
        <v>216</v>
      </c>
      <c r="D110" s="72" t="s">
        <v>339</v>
      </c>
      <c r="E110" s="73"/>
      <c r="F110" s="10"/>
      <c r="G110" s="10"/>
      <c r="H110" s="10" t="s">
        <v>524</v>
      </c>
      <c r="I110" s="44">
        <v>35</v>
      </c>
      <c r="J110" s="44">
        <v>38</v>
      </c>
      <c r="K110" s="44">
        <v>40</v>
      </c>
      <c r="L110" s="44">
        <v>50</v>
      </c>
      <c r="M110" s="44">
        <v>88</v>
      </c>
      <c r="N110" s="44">
        <v>147</v>
      </c>
      <c r="O110" s="44">
        <v>177</v>
      </c>
      <c r="P110" s="44">
        <v>206</v>
      </c>
      <c r="Q110" s="44">
        <v>206</v>
      </c>
      <c r="R110" s="44">
        <v>12</v>
      </c>
      <c r="S110" s="44">
        <v>47</v>
      </c>
    </row>
    <row r="111" spans="1:19" ht="15.75" customHeight="1">
      <c r="A111" s="10"/>
      <c r="B111" s="10" t="s">
        <v>22</v>
      </c>
      <c r="C111" s="10" t="s">
        <v>218</v>
      </c>
      <c r="D111" s="72" t="s">
        <v>339</v>
      </c>
      <c r="E111" s="73"/>
      <c r="F111" s="10"/>
      <c r="G111" s="10"/>
      <c r="H111" s="10" t="s">
        <v>525</v>
      </c>
      <c r="I111" s="44">
        <v>35</v>
      </c>
      <c r="J111" s="44">
        <v>38</v>
      </c>
      <c r="K111" s="44">
        <v>40</v>
      </c>
      <c r="L111" s="44">
        <v>50</v>
      </c>
      <c r="M111" s="44">
        <v>88</v>
      </c>
      <c r="N111" s="44">
        <v>147</v>
      </c>
      <c r="O111" s="44">
        <v>177</v>
      </c>
      <c r="P111" s="44">
        <v>206</v>
      </c>
      <c r="Q111" s="44">
        <v>206</v>
      </c>
      <c r="R111" s="44">
        <v>12</v>
      </c>
      <c r="S111" s="44">
        <v>47</v>
      </c>
    </row>
    <row r="112" spans="1:19" ht="15.75" customHeight="1">
      <c r="A112" s="10"/>
      <c r="B112" s="10" t="s">
        <v>22</v>
      </c>
      <c r="C112" s="10" t="s">
        <v>220</v>
      </c>
      <c r="D112" s="72" t="s">
        <v>339</v>
      </c>
      <c r="E112" s="73"/>
      <c r="F112" s="10"/>
      <c r="G112" s="10"/>
      <c r="H112" s="10" t="s">
        <v>526</v>
      </c>
      <c r="I112" s="44">
        <v>35</v>
      </c>
      <c r="J112" s="44">
        <v>38</v>
      </c>
      <c r="K112" s="44">
        <v>40</v>
      </c>
      <c r="L112" s="44">
        <v>50</v>
      </c>
      <c r="M112" s="44">
        <v>88</v>
      </c>
      <c r="N112" s="44">
        <v>147</v>
      </c>
      <c r="O112" s="44">
        <v>177</v>
      </c>
      <c r="P112" s="44">
        <v>206</v>
      </c>
      <c r="Q112" s="44">
        <v>206</v>
      </c>
      <c r="R112" s="44">
        <v>12</v>
      </c>
      <c r="S112" s="44">
        <v>47</v>
      </c>
    </row>
    <row r="113" spans="1:19" ht="15.75" customHeight="1">
      <c r="A113" s="10"/>
      <c r="B113" s="10" t="s">
        <v>22</v>
      </c>
      <c r="C113" s="10" t="s">
        <v>222</v>
      </c>
      <c r="D113" s="72" t="s">
        <v>339</v>
      </c>
      <c r="E113" s="73"/>
      <c r="F113" s="10"/>
      <c r="G113" s="10"/>
      <c r="H113" s="10" t="s">
        <v>522</v>
      </c>
      <c r="I113" s="44">
        <v>35</v>
      </c>
      <c r="J113" s="44">
        <v>38</v>
      </c>
      <c r="K113" s="44">
        <v>40</v>
      </c>
      <c r="L113" s="44">
        <v>50</v>
      </c>
      <c r="M113" s="44">
        <v>88</v>
      </c>
      <c r="N113" s="44">
        <v>147</v>
      </c>
      <c r="O113" s="44">
        <v>177</v>
      </c>
      <c r="P113" s="44">
        <v>206</v>
      </c>
      <c r="Q113" s="44">
        <v>206</v>
      </c>
      <c r="R113" s="44">
        <v>12</v>
      </c>
      <c r="S113" s="44">
        <v>47</v>
      </c>
    </row>
    <row r="114" spans="1:19" ht="15.75" customHeight="1">
      <c r="A114" s="10"/>
      <c r="B114" s="10" t="s">
        <v>22</v>
      </c>
      <c r="C114" s="10" t="s">
        <v>224</v>
      </c>
      <c r="D114" s="72" t="s">
        <v>339</v>
      </c>
      <c r="E114" s="73"/>
      <c r="F114" s="10"/>
      <c r="G114" s="10"/>
      <c r="H114" s="10" t="s">
        <v>527</v>
      </c>
      <c r="I114" s="44">
        <v>41</v>
      </c>
      <c r="J114" s="44">
        <v>47</v>
      </c>
      <c r="K114" s="44">
        <v>47</v>
      </c>
      <c r="L114" s="44">
        <v>59</v>
      </c>
      <c r="M114" s="44">
        <v>124</v>
      </c>
      <c r="N114" s="44">
        <v>147</v>
      </c>
      <c r="O114" s="44">
        <v>177</v>
      </c>
      <c r="P114" s="44">
        <v>206</v>
      </c>
      <c r="Q114" s="44">
        <v>206</v>
      </c>
      <c r="R114" s="44">
        <v>12</v>
      </c>
      <c r="S114" s="44">
        <v>47</v>
      </c>
    </row>
    <row r="115" spans="1:19" ht="15.75" customHeight="1">
      <c r="A115" s="10"/>
      <c r="B115" s="10" t="s">
        <v>22</v>
      </c>
      <c r="C115" s="10" t="s">
        <v>226</v>
      </c>
      <c r="D115" s="72" t="s">
        <v>339</v>
      </c>
      <c r="E115" s="73"/>
      <c r="F115" s="10"/>
      <c r="G115" s="10"/>
      <c r="H115" s="10" t="s">
        <v>528</v>
      </c>
      <c r="I115" s="44">
        <v>35</v>
      </c>
      <c r="J115" s="44">
        <v>38</v>
      </c>
      <c r="K115" s="44">
        <v>40</v>
      </c>
      <c r="L115" s="44">
        <v>50</v>
      </c>
      <c r="M115" s="44">
        <v>88</v>
      </c>
      <c r="N115" s="44">
        <v>147</v>
      </c>
      <c r="O115" s="44">
        <v>177</v>
      </c>
      <c r="P115" s="44">
        <v>206</v>
      </c>
      <c r="Q115" s="44">
        <v>206</v>
      </c>
      <c r="R115" s="44">
        <v>12</v>
      </c>
      <c r="S115" s="44">
        <v>47</v>
      </c>
    </row>
    <row r="116" spans="1:19" ht="15.75" customHeight="1">
      <c r="A116" s="10"/>
      <c r="B116" s="10" t="s">
        <v>22</v>
      </c>
      <c r="C116" s="10" t="s">
        <v>228</v>
      </c>
      <c r="D116" s="72" t="s">
        <v>339</v>
      </c>
      <c r="E116" s="73"/>
      <c r="F116" s="10"/>
      <c r="G116" s="10"/>
      <c r="H116" s="10" t="s">
        <v>527</v>
      </c>
      <c r="I116" s="44">
        <v>35</v>
      </c>
      <c r="J116" s="44">
        <v>38</v>
      </c>
      <c r="K116" s="44">
        <v>40</v>
      </c>
      <c r="L116" s="44">
        <v>50</v>
      </c>
      <c r="M116" s="44">
        <v>88</v>
      </c>
      <c r="N116" s="44">
        <v>147</v>
      </c>
      <c r="O116" s="44">
        <v>177</v>
      </c>
      <c r="P116" s="44">
        <v>206</v>
      </c>
      <c r="Q116" s="44">
        <v>206</v>
      </c>
      <c r="R116" s="44">
        <v>12</v>
      </c>
      <c r="S116" s="44">
        <v>47</v>
      </c>
    </row>
    <row r="117" spans="1:19" ht="15.75" customHeight="1">
      <c r="A117" s="10"/>
      <c r="B117" s="10" t="s">
        <v>22</v>
      </c>
      <c r="C117" s="10" t="s">
        <v>230</v>
      </c>
      <c r="D117" s="72" t="s">
        <v>339</v>
      </c>
      <c r="E117" s="73"/>
      <c r="F117" s="10"/>
      <c r="G117" s="10"/>
      <c r="H117" s="10" t="s">
        <v>529</v>
      </c>
      <c r="I117" s="44">
        <v>35</v>
      </c>
      <c r="J117" s="44">
        <v>38</v>
      </c>
      <c r="K117" s="44">
        <v>40</v>
      </c>
      <c r="L117" s="44">
        <v>50</v>
      </c>
      <c r="M117" s="44">
        <v>88</v>
      </c>
      <c r="N117" s="44">
        <v>147</v>
      </c>
      <c r="O117" s="44">
        <v>177</v>
      </c>
      <c r="P117" s="44">
        <v>206</v>
      </c>
      <c r="Q117" s="44">
        <v>206</v>
      </c>
      <c r="R117" s="44">
        <v>12</v>
      </c>
      <c r="S117" s="44">
        <v>47</v>
      </c>
    </row>
    <row r="118" spans="1:19" ht="15.75" customHeight="1">
      <c r="A118" s="10"/>
      <c r="B118" s="10" t="s">
        <v>22</v>
      </c>
      <c r="C118" s="10" t="s">
        <v>232</v>
      </c>
      <c r="D118" s="72" t="s">
        <v>339</v>
      </c>
      <c r="E118" s="73"/>
      <c r="F118" s="10"/>
      <c r="G118" s="10"/>
      <c r="H118" s="10" t="s">
        <v>527</v>
      </c>
      <c r="I118" s="44">
        <v>35</v>
      </c>
      <c r="J118" s="44">
        <v>38</v>
      </c>
      <c r="K118" s="44">
        <v>40</v>
      </c>
      <c r="L118" s="44">
        <v>50</v>
      </c>
      <c r="M118" s="44">
        <v>88</v>
      </c>
      <c r="N118" s="44">
        <v>147</v>
      </c>
      <c r="O118" s="44">
        <v>177</v>
      </c>
      <c r="P118" s="44">
        <v>206</v>
      </c>
      <c r="Q118" s="44">
        <v>206</v>
      </c>
      <c r="R118" s="44">
        <v>12</v>
      </c>
      <c r="S118" s="44">
        <v>47</v>
      </c>
    </row>
    <row r="119" spans="1:19" ht="15.75" customHeight="1">
      <c r="A119" s="10"/>
      <c r="B119" s="10" t="s">
        <v>22</v>
      </c>
      <c r="C119" s="10" t="s">
        <v>234</v>
      </c>
      <c r="D119" s="72" t="s">
        <v>339</v>
      </c>
      <c r="E119" s="73"/>
      <c r="F119" s="10"/>
      <c r="G119" s="10"/>
      <c r="H119" s="10" t="s">
        <v>530</v>
      </c>
      <c r="I119" s="44">
        <v>35</v>
      </c>
      <c r="J119" s="44">
        <v>38</v>
      </c>
      <c r="K119" s="44">
        <v>40</v>
      </c>
      <c r="L119" s="44">
        <v>50</v>
      </c>
      <c r="M119" s="44">
        <v>88</v>
      </c>
      <c r="N119" s="44">
        <v>147</v>
      </c>
      <c r="O119" s="44">
        <v>177</v>
      </c>
      <c r="P119" s="44">
        <v>206</v>
      </c>
      <c r="Q119" s="44">
        <v>206</v>
      </c>
      <c r="R119" s="44">
        <v>12</v>
      </c>
      <c r="S119" s="44">
        <v>47</v>
      </c>
    </row>
    <row r="120" spans="1:19" ht="15.75" customHeight="1">
      <c r="A120" s="10"/>
      <c r="B120" s="10" t="s">
        <v>22</v>
      </c>
      <c r="C120" s="10" t="s">
        <v>236</v>
      </c>
      <c r="D120" s="72" t="s">
        <v>339</v>
      </c>
      <c r="E120" s="73"/>
      <c r="F120" s="10"/>
      <c r="G120" s="10"/>
      <c r="H120" s="10" t="s">
        <v>527</v>
      </c>
      <c r="I120" s="44">
        <v>35</v>
      </c>
      <c r="J120" s="44">
        <v>38</v>
      </c>
      <c r="K120" s="44">
        <v>40</v>
      </c>
      <c r="L120" s="44">
        <v>50</v>
      </c>
      <c r="M120" s="44">
        <v>88</v>
      </c>
      <c r="N120" s="44">
        <v>147</v>
      </c>
      <c r="O120" s="44">
        <v>177</v>
      </c>
      <c r="P120" s="44">
        <v>206</v>
      </c>
      <c r="Q120" s="44">
        <v>206</v>
      </c>
      <c r="R120" s="44">
        <v>12</v>
      </c>
      <c r="S120" s="44">
        <v>47</v>
      </c>
    </row>
    <row r="121" spans="1:19" ht="15.75" customHeight="1">
      <c r="A121" s="10"/>
      <c r="B121" s="10" t="s">
        <v>22</v>
      </c>
      <c r="C121" s="10" t="s">
        <v>238</v>
      </c>
      <c r="D121" s="72" t="s">
        <v>339</v>
      </c>
      <c r="E121" s="73"/>
      <c r="F121" s="10"/>
      <c r="G121" s="10"/>
      <c r="H121" s="10" t="s">
        <v>531</v>
      </c>
      <c r="I121" s="44">
        <v>35</v>
      </c>
      <c r="J121" s="44">
        <v>38</v>
      </c>
      <c r="K121" s="44">
        <v>40</v>
      </c>
      <c r="L121" s="44">
        <v>50</v>
      </c>
      <c r="M121" s="44">
        <v>88</v>
      </c>
      <c r="N121" s="44">
        <v>147</v>
      </c>
      <c r="O121" s="44">
        <v>177</v>
      </c>
      <c r="P121" s="44">
        <v>206</v>
      </c>
      <c r="Q121" s="44">
        <v>206</v>
      </c>
      <c r="R121" s="44">
        <v>12</v>
      </c>
      <c r="S121" s="44">
        <v>47</v>
      </c>
    </row>
    <row r="122" spans="1:19" ht="15.75" customHeight="1">
      <c r="A122" s="10"/>
      <c r="B122" s="10" t="s">
        <v>22</v>
      </c>
      <c r="C122" s="10" t="s">
        <v>240</v>
      </c>
      <c r="D122" s="72" t="s">
        <v>339</v>
      </c>
      <c r="E122" s="73"/>
      <c r="F122" s="10"/>
      <c r="G122" s="10"/>
      <c r="H122" s="10" t="s">
        <v>531</v>
      </c>
      <c r="I122" s="44">
        <v>35</v>
      </c>
      <c r="J122" s="44">
        <v>38</v>
      </c>
      <c r="K122" s="44">
        <v>40</v>
      </c>
      <c r="L122" s="44">
        <v>50</v>
      </c>
      <c r="M122" s="44">
        <v>88</v>
      </c>
      <c r="N122" s="44">
        <v>147</v>
      </c>
      <c r="O122" s="44">
        <v>177</v>
      </c>
      <c r="P122" s="44">
        <v>206</v>
      </c>
      <c r="Q122" s="44">
        <v>206</v>
      </c>
      <c r="R122" s="44">
        <v>12</v>
      </c>
      <c r="S122" s="44">
        <v>47</v>
      </c>
    </row>
    <row r="123" spans="1:19" ht="15.75" customHeight="1">
      <c r="A123" s="10"/>
      <c r="B123" s="10" t="s">
        <v>22</v>
      </c>
      <c r="C123" s="10" t="s">
        <v>242</v>
      </c>
      <c r="D123" s="72" t="s">
        <v>339</v>
      </c>
      <c r="E123" s="73"/>
      <c r="F123" s="10"/>
      <c r="G123" s="10"/>
      <c r="H123" s="10" t="s">
        <v>532</v>
      </c>
      <c r="I123" s="44">
        <v>35</v>
      </c>
      <c r="J123" s="44">
        <v>38</v>
      </c>
      <c r="K123" s="44">
        <v>40</v>
      </c>
      <c r="L123" s="44">
        <v>50</v>
      </c>
      <c r="M123" s="44">
        <v>88</v>
      </c>
      <c r="N123" s="44">
        <v>147</v>
      </c>
      <c r="O123" s="44">
        <v>177</v>
      </c>
      <c r="P123" s="44">
        <v>206</v>
      </c>
      <c r="Q123" s="44">
        <v>206</v>
      </c>
      <c r="R123" s="44">
        <v>12</v>
      </c>
      <c r="S123" s="44">
        <v>47</v>
      </c>
    </row>
    <row r="124" spans="1:19" ht="15.75" customHeight="1">
      <c r="A124" s="10"/>
      <c r="B124" s="10" t="s">
        <v>22</v>
      </c>
      <c r="C124" s="10" t="s">
        <v>244</v>
      </c>
      <c r="D124" s="72" t="s">
        <v>339</v>
      </c>
      <c r="E124" s="73"/>
      <c r="F124" s="10"/>
      <c r="G124" s="10"/>
      <c r="H124" s="10" t="s">
        <v>533</v>
      </c>
      <c r="I124" s="44">
        <v>35</v>
      </c>
      <c r="J124" s="44">
        <v>38</v>
      </c>
      <c r="K124" s="44">
        <v>40</v>
      </c>
      <c r="L124" s="44">
        <v>50</v>
      </c>
      <c r="M124" s="44">
        <v>88</v>
      </c>
      <c r="N124" s="44">
        <v>147</v>
      </c>
      <c r="O124" s="44">
        <v>177</v>
      </c>
      <c r="P124" s="44">
        <v>206</v>
      </c>
      <c r="Q124" s="44">
        <v>206</v>
      </c>
      <c r="R124" s="44">
        <v>12</v>
      </c>
      <c r="S124" s="44">
        <v>47</v>
      </c>
    </row>
    <row r="125" spans="1:19" ht="15.75" customHeight="1">
      <c r="A125" s="10"/>
      <c r="B125" s="10" t="s">
        <v>22</v>
      </c>
      <c r="C125" s="10" t="s">
        <v>246</v>
      </c>
      <c r="D125" s="72" t="s">
        <v>339</v>
      </c>
      <c r="E125" s="73"/>
      <c r="F125" s="10"/>
      <c r="G125" s="10"/>
      <c r="H125" s="10" t="s">
        <v>531</v>
      </c>
      <c r="I125" s="44">
        <v>35</v>
      </c>
      <c r="J125" s="44">
        <v>38</v>
      </c>
      <c r="K125" s="44">
        <v>40</v>
      </c>
      <c r="L125" s="44">
        <v>50</v>
      </c>
      <c r="M125" s="44">
        <v>88</v>
      </c>
      <c r="N125" s="44">
        <v>147</v>
      </c>
      <c r="O125" s="44">
        <v>177</v>
      </c>
      <c r="P125" s="44">
        <v>206</v>
      </c>
      <c r="Q125" s="44">
        <v>206</v>
      </c>
      <c r="R125" s="44">
        <v>12</v>
      </c>
      <c r="S125" s="44">
        <v>47</v>
      </c>
    </row>
    <row r="126" spans="1:19" ht="15.75" customHeight="1">
      <c r="A126" s="10"/>
      <c r="B126" s="10" t="s">
        <v>22</v>
      </c>
      <c r="C126" s="10" t="s">
        <v>248</v>
      </c>
      <c r="D126" s="72" t="s">
        <v>339</v>
      </c>
      <c r="E126" s="73"/>
      <c r="F126" s="10"/>
      <c r="G126" s="10"/>
      <c r="H126" s="10" t="s">
        <v>460</v>
      </c>
      <c r="I126" s="44">
        <v>35</v>
      </c>
      <c r="J126" s="44">
        <v>38</v>
      </c>
      <c r="K126" s="44">
        <v>40</v>
      </c>
      <c r="L126" s="44">
        <v>50</v>
      </c>
      <c r="M126" s="44">
        <v>88</v>
      </c>
      <c r="N126" s="44">
        <v>147</v>
      </c>
      <c r="O126" s="44">
        <v>177</v>
      </c>
      <c r="P126" s="44">
        <v>206</v>
      </c>
      <c r="Q126" s="44">
        <v>206</v>
      </c>
      <c r="R126" s="44">
        <v>12</v>
      </c>
      <c r="S126" s="44">
        <v>47</v>
      </c>
    </row>
    <row r="127" spans="1:19" ht="15.75" customHeight="1">
      <c r="A127" s="10"/>
      <c r="B127" s="10" t="s">
        <v>22</v>
      </c>
      <c r="C127" s="10" t="s">
        <v>250</v>
      </c>
      <c r="D127" s="72" t="s">
        <v>339</v>
      </c>
      <c r="E127" s="73"/>
      <c r="F127" s="10"/>
      <c r="G127" s="10"/>
      <c r="H127" s="10" t="s">
        <v>534</v>
      </c>
      <c r="I127" s="44">
        <v>35</v>
      </c>
      <c r="J127" s="44">
        <v>38</v>
      </c>
      <c r="K127" s="44">
        <v>40</v>
      </c>
      <c r="L127" s="44">
        <v>50</v>
      </c>
      <c r="M127" s="44">
        <v>88</v>
      </c>
      <c r="N127" s="44">
        <v>147</v>
      </c>
      <c r="O127" s="44">
        <v>177</v>
      </c>
      <c r="P127" s="44">
        <v>206</v>
      </c>
      <c r="Q127" s="44">
        <v>206</v>
      </c>
      <c r="R127" s="44">
        <v>12</v>
      </c>
      <c r="S127" s="44">
        <v>47</v>
      </c>
    </row>
    <row r="128" spans="1:19" ht="15.75" customHeight="1">
      <c r="A128" s="10"/>
      <c r="B128" s="10" t="s">
        <v>22</v>
      </c>
      <c r="C128" s="10" t="s">
        <v>252</v>
      </c>
      <c r="D128" s="72" t="s">
        <v>339</v>
      </c>
      <c r="E128" s="73"/>
      <c r="F128" s="10"/>
      <c r="G128" s="10"/>
      <c r="H128" s="10" t="s">
        <v>464</v>
      </c>
      <c r="I128" s="44">
        <v>35</v>
      </c>
      <c r="J128" s="44">
        <v>38</v>
      </c>
      <c r="K128" s="44">
        <v>40</v>
      </c>
      <c r="L128" s="44">
        <v>50</v>
      </c>
      <c r="M128" s="44">
        <v>88</v>
      </c>
      <c r="N128" s="44">
        <v>147</v>
      </c>
      <c r="O128" s="44">
        <v>177</v>
      </c>
      <c r="P128" s="44">
        <v>206</v>
      </c>
      <c r="Q128" s="44">
        <v>206</v>
      </c>
      <c r="R128" s="44">
        <v>12</v>
      </c>
      <c r="S128" s="44">
        <v>47</v>
      </c>
    </row>
    <row r="129" spans="1:19" ht="15.75" customHeight="1">
      <c r="A129" s="10"/>
      <c r="B129" s="10" t="s">
        <v>22</v>
      </c>
      <c r="C129" s="10" t="s">
        <v>254</v>
      </c>
      <c r="D129" s="72" t="s">
        <v>339</v>
      </c>
      <c r="E129" s="73"/>
      <c r="F129" s="10"/>
      <c r="G129" s="10"/>
      <c r="H129" s="10" t="s">
        <v>535</v>
      </c>
      <c r="I129" s="44">
        <v>35</v>
      </c>
      <c r="J129" s="44">
        <v>38</v>
      </c>
      <c r="K129" s="44">
        <v>40</v>
      </c>
      <c r="L129" s="44">
        <v>50</v>
      </c>
      <c r="M129" s="44">
        <v>88</v>
      </c>
      <c r="N129" s="44">
        <v>147</v>
      </c>
      <c r="O129" s="44">
        <v>177</v>
      </c>
      <c r="P129" s="44">
        <v>206</v>
      </c>
      <c r="Q129" s="44">
        <v>206</v>
      </c>
      <c r="R129" s="44">
        <v>12</v>
      </c>
      <c r="S129" s="44">
        <v>47</v>
      </c>
    </row>
    <row r="130" spans="1:19" ht="15.75" customHeight="1">
      <c r="A130" s="10"/>
      <c r="B130" s="10" t="s">
        <v>22</v>
      </c>
      <c r="C130" s="10" t="s">
        <v>256</v>
      </c>
      <c r="D130" s="72" t="s">
        <v>339</v>
      </c>
      <c r="E130" s="73"/>
      <c r="F130" s="10"/>
      <c r="G130" s="10"/>
      <c r="H130" s="10" t="s">
        <v>535</v>
      </c>
      <c r="I130" s="44">
        <v>35</v>
      </c>
      <c r="J130" s="44">
        <v>38</v>
      </c>
      <c r="K130" s="44">
        <v>40</v>
      </c>
      <c r="L130" s="44">
        <v>50</v>
      </c>
      <c r="M130" s="44">
        <v>88</v>
      </c>
      <c r="N130" s="44">
        <v>147</v>
      </c>
      <c r="O130" s="44">
        <v>177</v>
      </c>
      <c r="P130" s="44">
        <v>206</v>
      </c>
      <c r="Q130" s="44">
        <v>206</v>
      </c>
      <c r="R130" s="44">
        <v>12</v>
      </c>
      <c r="S130" s="44">
        <v>47</v>
      </c>
    </row>
    <row r="131" spans="1:19" ht="15.75" customHeight="1">
      <c r="A131" s="10"/>
      <c r="B131" s="10" t="s">
        <v>22</v>
      </c>
      <c r="C131" s="10" t="s">
        <v>258</v>
      </c>
      <c r="D131" s="72" t="s">
        <v>339</v>
      </c>
      <c r="E131" s="73"/>
      <c r="F131" s="10"/>
      <c r="G131" s="10"/>
      <c r="H131" s="10" t="s">
        <v>536</v>
      </c>
      <c r="I131" s="44">
        <v>35</v>
      </c>
      <c r="J131" s="44">
        <v>38</v>
      </c>
      <c r="K131" s="44">
        <v>40</v>
      </c>
      <c r="L131" s="44">
        <v>50</v>
      </c>
      <c r="M131" s="44">
        <v>88</v>
      </c>
      <c r="N131" s="44">
        <v>147</v>
      </c>
      <c r="O131" s="44">
        <v>177</v>
      </c>
      <c r="P131" s="44">
        <v>206</v>
      </c>
      <c r="Q131" s="44">
        <v>206</v>
      </c>
      <c r="R131" s="44">
        <v>12</v>
      </c>
      <c r="S131" s="44">
        <v>47</v>
      </c>
    </row>
    <row r="132" spans="1:19" ht="15.75" customHeight="1">
      <c r="A132" s="10"/>
      <c r="B132" s="10" t="s">
        <v>22</v>
      </c>
      <c r="C132" s="10" t="s">
        <v>260</v>
      </c>
      <c r="D132" s="72" t="s">
        <v>339</v>
      </c>
      <c r="E132" s="73"/>
      <c r="F132" s="10"/>
      <c r="G132" s="10"/>
      <c r="H132" s="10" t="s">
        <v>464</v>
      </c>
      <c r="I132" s="44">
        <v>41</v>
      </c>
      <c r="J132" s="44">
        <v>47</v>
      </c>
      <c r="K132" s="44">
        <v>47</v>
      </c>
      <c r="L132" s="44">
        <v>59</v>
      </c>
      <c r="M132" s="44">
        <v>88</v>
      </c>
      <c r="N132" s="44">
        <v>147</v>
      </c>
      <c r="O132" s="44">
        <v>177</v>
      </c>
      <c r="P132" s="44">
        <v>206</v>
      </c>
      <c r="Q132" s="44">
        <v>206</v>
      </c>
      <c r="R132" s="44">
        <v>12</v>
      </c>
      <c r="S132" s="44">
        <v>47</v>
      </c>
    </row>
    <row r="133" spans="1:19" ht="15.75" customHeight="1">
      <c r="A133" s="10"/>
      <c r="B133" s="10" t="s">
        <v>22</v>
      </c>
      <c r="C133" s="10" t="s">
        <v>262</v>
      </c>
      <c r="D133" s="72" t="s">
        <v>339</v>
      </c>
      <c r="E133" s="73"/>
      <c r="F133" s="10"/>
      <c r="G133" s="10"/>
      <c r="H133" s="10" t="s">
        <v>464</v>
      </c>
      <c r="I133" s="44">
        <v>35</v>
      </c>
      <c r="J133" s="44">
        <v>38</v>
      </c>
      <c r="K133" s="44">
        <v>40</v>
      </c>
      <c r="L133" s="44">
        <v>50</v>
      </c>
      <c r="M133" s="44">
        <v>88</v>
      </c>
      <c r="N133" s="44">
        <v>147</v>
      </c>
      <c r="O133" s="44">
        <v>177</v>
      </c>
      <c r="P133" s="44">
        <v>206</v>
      </c>
      <c r="Q133" s="44">
        <v>206</v>
      </c>
      <c r="R133" s="44">
        <v>12</v>
      </c>
      <c r="S133" s="44">
        <v>47</v>
      </c>
    </row>
    <row r="134" spans="1:19" ht="15.75" customHeight="1">
      <c r="A134" s="10"/>
      <c r="B134" s="10" t="s">
        <v>22</v>
      </c>
      <c r="C134" s="10" t="s">
        <v>264</v>
      </c>
      <c r="D134" s="72" t="s">
        <v>339</v>
      </c>
      <c r="E134" s="73"/>
      <c r="F134" s="10"/>
      <c r="G134" s="10"/>
      <c r="H134" s="10"/>
      <c r="I134" s="44">
        <v>41</v>
      </c>
      <c r="J134" s="44">
        <v>47</v>
      </c>
      <c r="K134" s="44">
        <v>47</v>
      </c>
      <c r="L134" s="44">
        <v>59</v>
      </c>
      <c r="M134" s="44">
        <v>124</v>
      </c>
      <c r="N134" s="44">
        <v>147</v>
      </c>
      <c r="O134" s="44">
        <v>177</v>
      </c>
      <c r="P134" s="44">
        <v>206</v>
      </c>
      <c r="Q134" s="44">
        <v>206</v>
      </c>
      <c r="R134" s="44">
        <v>12</v>
      </c>
      <c r="S134" s="44">
        <v>47</v>
      </c>
    </row>
    <row r="135" spans="1:19" ht="15.75" customHeight="1">
      <c r="A135" s="10"/>
      <c r="B135" s="10" t="s">
        <v>22</v>
      </c>
      <c r="C135" s="10" t="s">
        <v>266</v>
      </c>
      <c r="D135" s="72" t="s">
        <v>339</v>
      </c>
      <c r="E135" s="73"/>
      <c r="F135" s="10"/>
      <c r="G135" s="10"/>
      <c r="H135" s="10" t="s">
        <v>536</v>
      </c>
      <c r="I135" s="44">
        <v>41</v>
      </c>
      <c r="J135" s="44">
        <v>47</v>
      </c>
      <c r="K135" s="44">
        <v>47</v>
      </c>
      <c r="L135" s="44">
        <v>59</v>
      </c>
      <c r="M135" s="44">
        <v>124</v>
      </c>
      <c r="N135" s="44">
        <v>147</v>
      </c>
      <c r="O135" s="44">
        <v>177</v>
      </c>
      <c r="P135" s="44">
        <v>206</v>
      </c>
      <c r="Q135" s="44">
        <v>206</v>
      </c>
      <c r="R135" s="44">
        <v>12</v>
      </c>
      <c r="S135" s="44">
        <v>47</v>
      </c>
    </row>
    <row r="136" spans="1:19" ht="15.75" customHeight="1">
      <c r="A136" s="10"/>
      <c r="B136" s="10" t="s">
        <v>22</v>
      </c>
      <c r="C136" s="10" t="s">
        <v>268</v>
      </c>
      <c r="D136" s="72" t="s">
        <v>339</v>
      </c>
      <c r="E136" s="73"/>
      <c r="F136" s="10"/>
      <c r="G136" s="10"/>
      <c r="H136" s="10" t="s">
        <v>536</v>
      </c>
      <c r="I136" s="44">
        <v>35</v>
      </c>
      <c r="J136" s="44">
        <v>38</v>
      </c>
      <c r="K136" s="44">
        <v>40</v>
      </c>
      <c r="L136" s="44">
        <v>50</v>
      </c>
      <c r="M136" s="44">
        <v>88</v>
      </c>
      <c r="N136" s="44">
        <v>147</v>
      </c>
      <c r="O136" s="44">
        <v>177</v>
      </c>
      <c r="P136" s="44">
        <v>206</v>
      </c>
      <c r="Q136" s="44">
        <v>206</v>
      </c>
      <c r="R136" s="44">
        <v>12</v>
      </c>
      <c r="S136" s="44">
        <v>47</v>
      </c>
    </row>
    <row r="137" spans="1:19" ht="15.75" customHeight="1">
      <c r="A137" s="10"/>
      <c r="B137" s="10" t="s">
        <v>22</v>
      </c>
      <c r="C137" s="10" t="s">
        <v>270</v>
      </c>
      <c r="D137" s="72" t="s">
        <v>339</v>
      </c>
      <c r="E137" s="73"/>
      <c r="F137" s="10"/>
      <c r="G137" s="10"/>
      <c r="H137" s="10"/>
      <c r="I137" s="44">
        <v>41</v>
      </c>
      <c r="J137" s="44">
        <v>47</v>
      </c>
      <c r="K137" s="44">
        <v>47</v>
      </c>
      <c r="L137" s="44">
        <v>59</v>
      </c>
      <c r="M137" s="44">
        <v>124</v>
      </c>
      <c r="N137" s="44">
        <v>147</v>
      </c>
      <c r="O137" s="44">
        <v>177</v>
      </c>
      <c r="P137" s="44">
        <v>206</v>
      </c>
      <c r="Q137" s="44">
        <v>206</v>
      </c>
      <c r="R137" s="44">
        <v>12</v>
      </c>
      <c r="S137" s="44">
        <v>47</v>
      </c>
    </row>
    <row r="138" spans="1:19" ht="15.75" customHeight="1">
      <c r="A138" s="10"/>
      <c r="B138" s="10" t="s">
        <v>22</v>
      </c>
      <c r="C138" s="10" t="s">
        <v>272</v>
      </c>
      <c r="D138" s="72" t="s">
        <v>339</v>
      </c>
      <c r="E138" s="73"/>
      <c r="F138" s="10"/>
      <c r="G138" s="10"/>
      <c r="H138" s="10"/>
      <c r="I138" s="44">
        <v>35</v>
      </c>
      <c r="J138" s="44">
        <v>38</v>
      </c>
      <c r="K138" s="44">
        <v>40</v>
      </c>
      <c r="L138" s="44">
        <v>50</v>
      </c>
      <c r="M138" s="44">
        <v>88</v>
      </c>
      <c r="N138" s="44">
        <v>147</v>
      </c>
      <c r="O138" s="44">
        <v>177</v>
      </c>
      <c r="P138" s="44">
        <v>206</v>
      </c>
      <c r="Q138" s="44">
        <v>206</v>
      </c>
      <c r="R138" s="44">
        <v>12</v>
      </c>
      <c r="S138" s="44">
        <v>47</v>
      </c>
    </row>
    <row r="139" spans="1:19" ht="15.75" customHeight="1">
      <c r="A139" s="10"/>
      <c r="B139" s="10" t="s">
        <v>21</v>
      </c>
      <c r="C139" s="10" t="s">
        <v>274</v>
      </c>
      <c r="D139" s="72" t="s">
        <v>339</v>
      </c>
      <c r="E139" s="73"/>
      <c r="F139" s="10"/>
      <c r="G139" s="10"/>
      <c r="H139" s="10" t="s">
        <v>522</v>
      </c>
      <c r="I139" s="44">
        <v>30</v>
      </c>
      <c r="J139" s="44">
        <v>30</v>
      </c>
      <c r="K139" s="44">
        <v>36</v>
      </c>
      <c r="L139" s="44">
        <v>48</v>
      </c>
      <c r="M139" s="44">
        <v>124</v>
      </c>
      <c r="N139" s="44">
        <v>147</v>
      </c>
      <c r="O139" s="44">
        <v>177</v>
      </c>
      <c r="P139" s="44">
        <v>206</v>
      </c>
      <c r="Q139" s="44">
        <v>206</v>
      </c>
      <c r="R139" s="44">
        <v>12</v>
      </c>
      <c r="S139" s="44">
        <v>47</v>
      </c>
    </row>
    <row r="140" spans="1:19" ht="15.75" customHeight="1">
      <c r="A140" s="10"/>
      <c r="B140" s="10" t="s">
        <v>21</v>
      </c>
      <c r="C140" s="10" t="s">
        <v>276</v>
      </c>
      <c r="D140" s="72" t="s">
        <v>339</v>
      </c>
      <c r="E140" s="73"/>
      <c r="F140" s="10"/>
      <c r="G140" s="10"/>
      <c r="H140" s="10" t="s">
        <v>537</v>
      </c>
      <c r="I140" s="44">
        <v>30</v>
      </c>
      <c r="J140" s="44">
        <v>30</v>
      </c>
      <c r="K140" s="44">
        <v>36</v>
      </c>
      <c r="L140" s="44">
        <v>48</v>
      </c>
      <c r="M140" s="44">
        <v>124</v>
      </c>
      <c r="N140" s="44">
        <v>147</v>
      </c>
      <c r="O140" s="44">
        <v>177</v>
      </c>
      <c r="P140" s="44">
        <v>206</v>
      </c>
      <c r="Q140" s="44">
        <v>206</v>
      </c>
      <c r="R140" s="44">
        <v>12</v>
      </c>
      <c r="S140" s="44">
        <v>47</v>
      </c>
    </row>
    <row r="141" spans="1:19" ht="15.75" customHeight="1">
      <c r="A141" s="10"/>
      <c r="B141" s="10" t="s">
        <v>22</v>
      </c>
      <c r="C141" s="10" t="s">
        <v>278</v>
      </c>
      <c r="D141" s="72" t="s">
        <v>339</v>
      </c>
      <c r="E141" s="73"/>
      <c r="F141" s="10"/>
      <c r="G141" s="10"/>
      <c r="H141" s="10" t="s">
        <v>538</v>
      </c>
      <c r="I141" s="44">
        <v>12</v>
      </c>
      <c r="J141" s="44">
        <v>18</v>
      </c>
      <c r="K141" s="44">
        <v>12</v>
      </c>
      <c r="L141" s="44">
        <v>24</v>
      </c>
      <c r="M141" s="44">
        <v>35</v>
      </c>
      <c r="N141" s="44">
        <v>47</v>
      </c>
      <c r="O141" s="44">
        <v>59</v>
      </c>
      <c r="P141" s="44">
        <v>74</v>
      </c>
      <c r="Q141" s="44">
        <v>74</v>
      </c>
      <c r="R141" s="44">
        <v>12</v>
      </c>
      <c r="S141" s="44">
        <v>24</v>
      </c>
    </row>
    <row r="142" spans="1:19" ht="15.75" customHeight="1">
      <c r="A142" s="10"/>
      <c r="B142" s="10" t="s">
        <v>22</v>
      </c>
      <c r="C142" s="10" t="s">
        <v>280</v>
      </c>
      <c r="D142" s="72" t="s">
        <v>339</v>
      </c>
      <c r="E142" s="73"/>
      <c r="F142" s="10"/>
      <c r="G142" s="10"/>
      <c r="H142" s="10" t="s">
        <v>539</v>
      </c>
      <c r="I142" s="44">
        <v>12</v>
      </c>
      <c r="J142" s="44">
        <v>18</v>
      </c>
      <c r="K142" s="44">
        <v>12</v>
      </c>
      <c r="L142" s="44">
        <v>24</v>
      </c>
      <c r="M142" s="44">
        <v>35</v>
      </c>
      <c r="N142" s="44">
        <v>47</v>
      </c>
      <c r="O142" s="44">
        <v>59</v>
      </c>
      <c r="P142" s="44">
        <v>74</v>
      </c>
      <c r="Q142" s="44">
        <v>74</v>
      </c>
      <c r="R142" s="44">
        <v>12</v>
      </c>
      <c r="S142" s="44">
        <v>24</v>
      </c>
    </row>
    <row r="143" spans="1:19" ht="15.75" customHeight="1">
      <c r="A143" s="23"/>
      <c r="B143" s="29" t="s">
        <v>282</v>
      </c>
      <c r="C143" s="29" t="s">
        <v>283</v>
      </c>
      <c r="D143" s="72" t="s">
        <v>339</v>
      </c>
      <c r="E143" s="73"/>
      <c r="F143" s="26"/>
      <c r="G143" s="26"/>
      <c r="H143" s="23" t="s">
        <v>542</v>
      </c>
      <c r="I143" s="44">
        <v>1</v>
      </c>
      <c r="J143" s="44">
        <v>1</v>
      </c>
      <c r="K143" s="44">
        <v>1</v>
      </c>
      <c r="L143" s="44">
        <v>1</v>
      </c>
      <c r="M143" s="44">
        <v>1</v>
      </c>
      <c r="N143" s="3">
        <v>1</v>
      </c>
      <c r="O143" s="3">
        <v>1</v>
      </c>
      <c r="P143" s="3">
        <v>1</v>
      </c>
      <c r="Q143" s="3">
        <v>1</v>
      </c>
      <c r="R143" s="3">
        <v>1</v>
      </c>
      <c r="S143" s="3">
        <v>1</v>
      </c>
    </row>
    <row r="144" spans="1:19" ht="15.75" customHeight="1">
      <c r="A144" s="23"/>
      <c r="B144" s="29" t="s">
        <v>22</v>
      </c>
      <c r="C144" s="29" t="s">
        <v>285</v>
      </c>
      <c r="D144" s="45" t="s">
        <v>36</v>
      </c>
      <c r="E144" s="26"/>
      <c r="F144" s="26"/>
      <c r="G144" s="26"/>
      <c r="H144" s="23" t="s">
        <v>540</v>
      </c>
      <c r="I144" s="44">
        <v>20</v>
      </c>
      <c r="J144" s="44">
        <v>30</v>
      </c>
      <c r="K144" s="44">
        <v>30</v>
      </c>
      <c r="L144" s="44">
        <v>30</v>
      </c>
      <c r="M144" s="44">
        <v>60</v>
      </c>
      <c r="N144" s="3">
        <v>89</v>
      </c>
      <c r="O144" s="3">
        <v>178</v>
      </c>
      <c r="P144" s="3">
        <v>237</v>
      </c>
      <c r="Q144" s="3">
        <v>237</v>
      </c>
      <c r="R144" s="3">
        <v>30</v>
      </c>
      <c r="S144" s="3">
        <v>65</v>
      </c>
    </row>
    <row r="145" spans="1:19" ht="15.75" customHeight="1">
      <c r="A145" s="23"/>
      <c r="B145" s="29" t="s">
        <v>22</v>
      </c>
      <c r="C145" s="29" t="s">
        <v>288</v>
      </c>
      <c r="D145" s="10" t="s">
        <v>339</v>
      </c>
      <c r="E145" s="10"/>
      <c r="F145" s="26"/>
      <c r="G145" s="26"/>
      <c r="H145" s="23" t="s">
        <v>541</v>
      </c>
      <c r="I145" s="44">
        <v>35</v>
      </c>
      <c r="J145" s="44">
        <v>38</v>
      </c>
      <c r="K145" s="44">
        <v>40</v>
      </c>
      <c r="L145" s="44">
        <v>50</v>
      </c>
      <c r="M145" s="44">
        <v>88</v>
      </c>
      <c r="N145" s="44">
        <v>147</v>
      </c>
      <c r="O145" s="44">
        <v>177</v>
      </c>
      <c r="P145" s="44">
        <v>206</v>
      </c>
      <c r="Q145" s="44">
        <v>206</v>
      </c>
      <c r="R145" s="44">
        <v>12</v>
      </c>
      <c r="S145" s="44">
        <v>47</v>
      </c>
    </row>
    <row r="146" spans="1:19" ht="15.75" customHeight="1">
      <c r="A146" s="23"/>
      <c r="B146" s="10" t="s">
        <v>22</v>
      </c>
      <c r="C146" s="10" t="s">
        <v>543</v>
      </c>
      <c r="D146" s="72" t="s">
        <v>339</v>
      </c>
      <c r="E146" s="73"/>
      <c r="F146" s="10"/>
      <c r="G146" s="10"/>
      <c r="H146" s="10" t="s">
        <v>544</v>
      </c>
      <c r="I146" s="44">
        <v>35</v>
      </c>
      <c r="J146" s="44">
        <v>38</v>
      </c>
      <c r="K146" s="44">
        <v>40</v>
      </c>
      <c r="L146" s="44">
        <v>50</v>
      </c>
      <c r="M146" s="44">
        <v>88</v>
      </c>
      <c r="N146" s="44">
        <v>147</v>
      </c>
      <c r="O146" s="44">
        <v>177</v>
      </c>
      <c r="P146" s="44">
        <v>206</v>
      </c>
      <c r="Q146" s="44">
        <v>206</v>
      </c>
      <c r="R146" s="44">
        <v>12</v>
      </c>
      <c r="S146" s="44">
        <v>47</v>
      </c>
    </row>
    <row r="147" spans="1:19" ht="15.75" customHeight="1">
      <c r="A147" s="23"/>
      <c r="B147" s="10" t="s">
        <v>22</v>
      </c>
      <c r="C147" s="10" t="s">
        <v>545</v>
      </c>
      <c r="D147" s="10" t="s">
        <v>339</v>
      </c>
      <c r="E147" s="10"/>
      <c r="F147" s="10"/>
      <c r="G147" s="10"/>
      <c r="H147" s="10" t="s">
        <v>546</v>
      </c>
      <c r="I147" s="44">
        <v>35</v>
      </c>
      <c r="J147" s="44">
        <v>38</v>
      </c>
      <c r="K147" s="44">
        <v>40</v>
      </c>
      <c r="L147" s="44">
        <v>50</v>
      </c>
      <c r="M147" s="44">
        <v>88</v>
      </c>
      <c r="N147" s="44">
        <v>147</v>
      </c>
      <c r="O147" s="44">
        <v>177</v>
      </c>
      <c r="P147" s="44">
        <v>206</v>
      </c>
      <c r="Q147" s="44">
        <v>206</v>
      </c>
      <c r="R147" s="44">
        <v>12</v>
      </c>
      <c r="S147" s="44">
        <v>47</v>
      </c>
    </row>
    <row r="148" spans="1:19" ht="15.75" customHeight="1">
      <c r="A148" s="23"/>
      <c r="B148" s="29" t="s">
        <v>547</v>
      </c>
      <c r="C148" s="29" t="s">
        <v>548</v>
      </c>
      <c r="D148" s="10" t="s">
        <v>339</v>
      </c>
      <c r="E148" s="26"/>
      <c r="F148" s="26"/>
      <c r="G148" s="26"/>
      <c r="H148" s="23" t="s">
        <v>549</v>
      </c>
      <c r="I148" s="48">
        <v>0</v>
      </c>
      <c r="J148" s="48">
        <v>0</v>
      </c>
      <c r="K148" s="48">
        <v>0</v>
      </c>
      <c r="L148" s="48">
        <v>0</v>
      </c>
      <c r="M148" s="48">
        <v>0</v>
      </c>
      <c r="N148" s="48">
        <v>0</v>
      </c>
      <c r="O148" s="48">
        <v>0</v>
      </c>
      <c r="P148" s="48">
        <v>0</v>
      </c>
      <c r="Q148" s="48">
        <v>0</v>
      </c>
      <c r="R148" s="48">
        <v>0</v>
      </c>
      <c r="S148" s="48">
        <v>0</v>
      </c>
    </row>
    <row r="149" spans="1:19" ht="15.75" customHeight="1">
      <c r="A149" s="23"/>
      <c r="B149" s="24"/>
      <c r="C149" s="24"/>
      <c r="D149" s="25"/>
      <c r="E149" s="26"/>
      <c r="F149" s="26"/>
      <c r="G149" s="26"/>
      <c r="H149" s="23"/>
      <c r="I149" s="27"/>
      <c r="J149" s="27"/>
      <c r="K149" s="27"/>
      <c r="L149" s="27"/>
      <c r="M149" s="27"/>
      <c r="N149" s="27"/>
      <c r="O149" s="27"/>
      <c r="P149" s="27"/>
      <c r="Q149" s="27"/>
      <c r="R149" s="27"/>
      <c r="S149" s="27"/>
    </row>
    <row r="150" spans="1:19" ht="15.75" customHeight="1">
      <c r="A150" s="23"/>
      <c r="B150" s="24"/>
      <c r="C150" s="24"/>
      <c r="D150" s="25"/>
      <c r="E150" s="26"/>
      <c r="F150" s="26"/>
      <c r="G150" s="26"/>
      <c r="H150" s="23"/>
      <c r="I150" s="27"/>
      <c r="J150" s="27"/>
      <c r="K150" s="27"/>
      <c r="L150" s="27"/>
      <c r="M150" s="27"/>
      <c r="N150" s="27"/>
      <c r="O150" s="27"/>
      <c r="P150" s="27"/>
      <c r="Q150" s="27"/>
      <c r="R150" s="27"/>
      <c r="S150" s="27"/>
    </row>
    <row r="151" spans="1:19" ht="15.75" customHeight="1">
      <c r="A151" s="23"/>
      <c r="B151" s="24"/>
      <c r="C151" s="24"/>
      <c r="D151" s="25"/>
      <c r="E151" s="26"/>
      <c r="F151" s="26"/>
      <c r="G151" s="26"/>
      <c r="H151" s="23"/>
      <c r="I151" s="27"/>
      <c r="J151" s="27"/>
      <c r="K151" s="27"/>
      <c r="L151" s="27"/>
      <c r="M151" s="27"/>
      <c r="N151" s="27"/>
      <c r="O151" s="27"/>
      <c r="P151" s="27"/>
      <c r="Q151" s="27"/>
      <c r="R151" s="27"/>
      <c r="S151" s="27"/>
    </row>
    <row r="152" spans="1:19" ht="15.75" customHeight="1">
      <c r="A152" s="23"/>
      <c r="B152" s="24"/>
      <c r="C152" s="24"/>
      <c r="D152" s="25"/>
      <c r="E152" s="26"/>
      <c r="F152" s="26"/>
      <c r="G152" s="26"/>
      <c r="H152" s="23"/>
      <c r="I152" s="27"/>
      <c r="J152" s="27"/>
      <c r="K152" s="27"/>
      <c r="L152" s="27"/>
      <c r="M152" s="27"/>
      <c r="N152" s="27"/>
      <c r="O152" s="27"/>
      <c r="P152" s="27"/>
      <c r="Q152" s="27"/>
      <c r="R152" s="27"/>
      <c r="S152" s="27"/>
    </row>
    <row r="153" spans="1:19" ht="15.75" customHeight="1">
      <c r="A153" s="23"/>
      <c r="B153" s="24"/>
      <c r="C153" s="24"/>
      <c r="D153" s="25"/>
      <c r="E153" s="26"/>
      <c r="F153" s="26"/>
      <c r="G153" s="26"/>
      <c r="H153" s="23"/>
      <c r="I153" s="27"/>
      <c r="J153" s="27"/>
      <c r="K153" s="27"/>
      <c r="L153" s="27"/>
      <c r="M153" s="27"/>
      <c r="N153" s="27"/>
      <c r="O153" s="27"/>
      <c r="P153" s="27"/>
      <c r="Q153" s="27"/>
      <c r="R153" s="27"/>
      <c r="S153" s="27"/>
    </row>
    <row r="154" spans="1:19" ht="15.75" customHeight="1">
      <c r="A154" s="23"/>
      <c r="B154" s="24"/>
      <c r="C154" s="24"/>
      <c r="D154" s="25"/>
      <c r="E154" s="26"/>
      <c r="F154" s="26"/>
      <c r="G154" s="26"/>
      <c r="H154" s="23"/>
      <c r="I154" s="27"/>
      <c r="J154" s="27"/>
      <c r="K154" s="27"/>
      <c r="L154" s="27"/>
      <c r="M154" s="27"/>
      <c r="N154" s="27"/>
      <c r="O154" s="27"/>
      <c r="P154" s="27"/>
      <c r="Q154" s="27"/>
      <c r="R154" s="27"/>
      <c r="S154" s="27"/>
    </row>
    <row r="155" spans="1:19" ht="15.75" customHeight="1">
      <c r="A155" s="23"/>
      <c r="B155" s="24"/>
      <c r="C155" s="24"/>
      <c r="D155" s="25"/>
      <c r="E155" s="26"/>
      <c r="F155" s="26"/>
      <c r="G155" s="26"/>
      <c r="H155" s="23"/>
      <c r="I155" s="27"/>
      <c r="J155" s="27"/>
      <c r="K155" s="27"/>
      <c r="L155" s="27"/>
      <c r="M155" s="27"/>
      <c r="N155" s="27"/>
      <c r="O155" s="27"/>
      <c r="P155" s="27"/>
      <c r="Q155" s="27"/>
      <c r="R155" s="27"/>
      <c r="S155" s="27"/>
    </row>
    <row r="156" spans="1:19" ht="15.75" customHeight="1">
      <c r="A156" s="23"/>
      <c r="B156" s="24"/>
      <c r="C156" s="24"/>
      <c r="D156" s="25"/>
      <c r="E156" s="26"/>
      <c r="F156" s="26"/>
      <c r="G156" s="26"/>
      <c r="H156" s="23"/>
      <c r="I156" s="27"/>
      <c r="J156" s="27"/>
      <c r="K156" s="27"/>
      <c r="L156" s="27"/>
      <c r="M156" s="27"/>
      <c r="N156" s="27"/>
      <c r="O156" s="27"/>
      <c r="P156" s="27"/>
      <c r="Q156" s="27"/>
      <c r="R156" s="27"/>
      <c r="S156" s="27"/>
    </row>
    <row r="157" spans="1:19" ht="15.75" customHeight="1">
      <c r="A157" s="23"/>
      <c r="B157" s="24"/>
      <c r="C157" s="24"/>
      <c r="D157" s="25"/>
      <c r="E157" s="26"/>
      <c r="F157" s="26"/>
      <c r="G157" s="26"/>
      <c r="H157" s="23"/>
      <c r="I157" s="27"/>
      <c r="J157" s="27"/>
      <c r="K157" s="27"/>
      <c r="L157" s="27"/>
      <c r="M157" s="27"/>
      <c r="N157" s="27"/>
      <c r="O157" s="27"/>
      <c r="P157" s="27"/>
      <c r="Q157" s="27"/>
      <c r="R157" s="27"/>
      <c r="S157" s="27"/>
    </row>
    <row r="158" spans="1:19" ht="15.75" customHeight="1">
      <c r="A158" s="23"/>
      <c r="B158" s="24"/>
      <c r="C158" s="24"/>
      <c r="D158" s="25"/>
      <c r="E158" s="26"/>
      <c r="F158" s="26"/>
      <c r="G158" s="26"/>
      <c r="H158" s="23"/>
      <c r="I158" s="27"/>
      <c r="J158" s="27"/>
      <c r="K158" s="27"/>
      <c r="L158" s="27"/>
      <c r="M158" s="27"/>
      <c r="N158" s="27"/>
      <c r="O158" s="27"/>
      <c r="P158" s="27"/>
      <c r="Q158" s="27"/>
      <c r="R158" s="27"/>
      <c r="S158" s="27"/>
    </row>
    <row r="159" spans="1:19" ht="15.75" customHeight="1">
      <c r="A159" s="23"/>
      <c r="B159" s="24"/>
      <c r="C159" s="24"/>
      <c r="D159" s="25"/>
      <c r="E159" s="26"/>
      <c r="F159" s="26"/>
      <c r="G159" s="26"/>
      <c r="H159" s="23"/>
      <c r="I159" s="27"/>
      <c r="J159" s="27"/>
      <c r="K159" s="27"/>
      <c r="L159" s="27"/>
      <c r="M159" s="27"/>
      <c r="N159" s="27"/>
      <c r="O159" s="27"/>
      <c r="P159" s="27"/>
      <c r="Q159" s="27"/>
      <c r="R159" s="27"/>
      <c r="S159" s="27"/>
    </row>
    <row r="160" spans="1:19" ht="15.75" customHeight="1">
      <c r="A160" s="23"/>
      <c r="B160" s="24"/>
      <c r="C160" s="24"/>
      <c r="D160" s="25"/>
      <c r="E160" s="26"/>
      <c r="F160" s="26"/>
      <c r="G160" s="26"/>
      <c r="H160" s="23"/>
      <c r="I160" s="27"/>
      <c r="J160" s="27"/>
      <c r="K160" s="27"/>
      <c r="L160" s="27"/>
      <c r="M160" s="27"/>
      <c r="N160" s="27"/>
      <c r="O160" s="27"/>
      <c r="P160" s="27"/>
      <c r="Q160" s="27"/>
      <c r="R160" s="27"/>
      <c r="S160" s="27"/>
    </row>
    <row r="161" spans="1:19" ht="15.75" customHeight="1">
      <c r="A161" s="23"/>
      <c r="B161" s="24"/>
      <c r="C161" s="24"/>
      <c r="D161" s="25"/>
      <c r="E161" s="26"/>
      <c r="F161" s="26"/>
      <c r="G161" s="26"/>
      <c r="H161" s="23"/>
      <c r="I161" s="27"/>
      <c r="J161" s="27"/>
      <c r="K161" s="27"/>
      <c r="L161" s="27"/>
      <c r="M161" s="27"/>
      <c r="N161" s="27"/>
      <c r="O161" s="27"/>
      <c r="P161" s="27"/>
      <c r="Q161" s="27"/>
      <c r="R161" s="27"/>
      <c r="S161" s="27"/>
    </row>
    <row r="162" spans="1:19" ht="15.75" customHeight="1"/>
    <row r="163" spans="1:19" ht="15.75" customHeight="1"/>
    <row r="164" spans="1:19" ht="15.75" customHeight="1"/>
    <row r="165" spans="1:19" ht="15.75" customHeight="1"/>
    <row r="166" spans="1:19" ht="15.75" customHeight="1"/>
    <row r="167" spans="1:19" ht="15.75" customHeight="1"/>
    <row r="168" spans="1:19" ht="15.75" customHeight="1"/>
    <row r="169" spans="1:19" ht="15.75" customHeight="1"/>
    <row r="170" spans="1:19" ht="15.75" customHeight="1"/>
    <row r="171" spans="1:19" ht="15.75" customHeight="1"/>
    <row r="172" spans="1:19" ht="15.75" customHeight="1"/>
    <row r="173" spans="1:19" ht="15.75" customHeight="1"/>
    <row r="174" spans="1:19" ht="15.75" customHeight="1"/>
    <row r="175" spans="1:19" ht="15.75" customHeight="1"/>
    <row r="176" spans="1:19"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5">
    <mergeCell ref="D128:E128"/>
    <mergeCell ref="D129:E129"/>
    <mergeCell ref="D130:E130"/>
    <mergeCell ref="D131:E131"/>
    <mergeCell ref="D132:E132"/>
    <mergeCell ref="D133:E133"/>
    <mergeCell ref="D134:E134"/>
    <mergeCell ref="D119:E119"/>
    <mergeCell ref="D120:E120"/>
    <mergeCell ref="D121:E121"/>
    <mergeCell ref="D122:E122"/>
    <mergeCell ref="D123:E123"/>
    <mergeCell ref="D124:E124"/>
    <mergeCell ref="D125:E125"/>
    <mergeCell ref="D126:E126"/>
    <mergeCell ref="D127:E127"/>
    <mergeCell ref="D110:E110"/>
    <mergeCell ref="D111:E111"/>
    <mergeCell ref="D112:E112"/>
    <mergeCell ref="D113:E113"/>
    <mergeCell ref="D114:E114"/>
    <mergeCell ref="D115:E115"/>
    <mergeCell ref="D116:E116"/>
    <mergeCell ref="D117:E117"/>
    <mergeCell ref="D118:E118"/>
    <mergeCell ref="D101:E101"/>
    <mergeCell ref="D102:E102"/>
    <mergeCell ref="D103:E103"/>
    <mergeCell ref="D104:E104"/>
    <mergeCell ref="D105:E105"/>
    <mergeCell ref="D106:E106"/>
    <mergeCell ref="D107:E107"/>
    <mergeCell ref="D108:E108"/>
    <mergeCell ref="D109:E109"/>
    <mergeCell ref="D143:E143"/>
    <mergeCell ref="D146:E146"/>
    <mergeCell ref="D135:E135"/>
    <mergeCell ref="D136:E136"/>
    <mergeCell ref="D137:E137"/>
    <mergeCell ref="D138:E138"/>
    <mergeCell ref="D139:E139"/>
    <mergeCell ref="D140:E140"/>
    <mergeCell ref="D141:E141"/>
    <mergeCell ref="D78:E78"/>
    <mergeCell ref="D79:E79"/>
    <mergeCell ref="D80:E80"/>
    <mergeCell ref="D81:E81"/>
    <mergeCell ref="D82:E82"/>
    <mergeCell ref="D83:E83"/>
    <mergeCell ref="D84:E84"/>
    <mergeCell ref="D85:E85"/>
    <mergeCell ref="D142:E142"/>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69:E69"/>
    <mergeCell ref="D70:E70"/>
    <mergeCell ref="D71:E71"/>
    <mergeCell ref="D72:E72"/>
    <mergeCell ref="D73:E73"/>
    <mergeCell ref="D74:E74"/>
    <mergeCell ref="D75:E75"/>
    <mergeCell ref="D76:E76"/>
    <mergeCell ref="D77:E77"/>
    <mergeCell ref="D60:E60"/>
    <mergeCell ref="D61:E61"/>
    <mergeCell ref="D62:E62"/>
    <mergeCell ref="D63:E63"/>
    <mergeCell ref="D64:E64"/>
    <mergeCell ref="D65:E65"/>
    <mergeCell ref="D66:E66"/>
    <mergeCell ref="D67:E67"/>
    <mergeCell ref="D68:E68"/>
    <mergeCell ref="D6:F6"/>
    <mergeCell ref="D7:F7"/>
    <mergeCell ref="D9:E9"/>
    <mergeCell ref="D54:E54"/>
    <mergeCell ref="D55:E55"/>
    <mergeCell ref="D56:E56"/>
    <mergeCell ref="D57:E57"/>
    <mergeCell ref="D58:E58"/>
    <mergeCell ref="D59:E59"/>
    <mergeCell ref="H1:H4"/>
    <mergeCell ref="I1:O1"/>
    <mergeCell ref="I2:O2"/>
    <mergeCell ref="I3:O3"/>
    <mergeCell ref="A1:A4"/>
    <mergeCell ref="B1:B4"/>
    <mergeCell ref="C1:C4"/>
    <mergeCell ref="D1:D4"/>
    <mergeCell ref="E1:E4"/>
    <mergeCell ref="F1:F4"/>
    <mergeCell ref="G1:G4"/>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pane ySplit="4" topLeftCell="A5" activePane="bottomLeft" state="frozen"/>
      <selection pane="bottomLeft" activeCell="B6" sqref="B6"/>
    </sheetView>
  </sheetViews>
  <sheetFormatPr defaultColWidth="12.6328125" defaultRowHeight="15" customHeight="1"/>
  <cols>
    <col min="1" max="1" width="9.26953125" customWidth="1"/>
    <col min="2" max="2" width="18.90625" customWidth="1"/>
    <col min="3" max="3" width="34" customWidth="1"/>
    <col min="4" max="4" width="16.7265625" customWidth="1"/>
    <col min="5" max="7" width="8.6328125" customWidth="1"/>
    <col min="8" max="8" width="35.7265625" customWidth="1"/>
    <col min="9" max="9" width="18.36328125" customWidth="1"/>
    <col min="10" max="10" width="21.6328125" customWidth="1"/>
    <col min="11" max="11" width="22.453125" customWidth="1"/>
    <col min="12" max="12" width="24.26953125" customWidth="1"/>
    <col min="13" max="13" width="17.08984375" customWidth="1"/>
    <col min="14" max="14" width="11.7265625" customWidth="1"/>
    <col min="15" max="15" width="24" customWidth="1"/>
    <col min="16" max="18" width="12.7265625" customWidth="1"/>
  </cols>
  <sheetData>
    <row r="1" spans="1:26" ht="15.75" customHeight="1">
      <c r="A1" s="68" t="s">
        <v>0</v>
      </c>
      <c r="B1" s="68" t="s">
        <v>1</v>
      </c>
      <c r="C1" s="68" t="s">
        <v>2</v>
      </c>
      <c r="D1" s="71" t="s">
        <v>3</v>
      </c>
      <c r="E1" s="68" t="s">
        <v>4</v>
      </c>
      <c r="F1" s="68" t="s">
        <v>5</v>
      </c>
      <c r="G1" s="68" t="s">
        <v>6</v>
      </c>
      <c r="H1" s="68" t="s">
        <v>7</v>
      </c>
      <c r="I1" s="74" t="s">
        <v>8</v>
      </c>
      <c r="J1" s="75"/>
      <c r="K1" s="75"/>
      <c r="L1" s="75"/>
      <c r="M1" s="75"/>
      <c r="N1" s="75"/>
      <c r="O1" s="76"/>
      <c r="P1" s="49"/>
      <c r="Q1" s="49"/>
      <c r="R1" s="49"/>
      <c r="S1" s="50"/>
      <c r="T1" s="50"/>
      <c r="U1" s="50"/>
      <c r="V1" s="50"/>
      <c r="W1" s="50"/>
      <c r="X1" s="50"/>
      <c r="Y1" s="50"/>
      <c r="Z1" s="50"/>
    </row>
    <row r="2" spans="1:26" ht="15.75" customHeight="1">
      <c r="A2" s="69"/>
      <c r="B2" s="69"/>
      <c r="C2" s="69"/>
      <c r="D2" s="69"/>
      <c r="E2" s="69"/>
      <c r="F2" s="69"/>
      <c r="G2" s="69"/>
      <c r="H2" s="69"/>
      <c r="I2" s="74" t="s">
        <v>328</v>
      </c>
      <c r="J2" s="75"/>
      <c r="K2" s="75"/>
      <c r="L2" s="75"/>
      <c r="M2" s="75"/>
      <c r="N2" s="75"/>
      <c r="O2" s="76"/>
      <c r="P2" s="49"/>
      <c r="Q2" s="49"/>
      <c r="R2" s="49"/>
      <c r="S2" s="50"/>
      <c r="T2" s="50"/>
      <c r="U2" s="50"/>
      <c r="V2" s="50"/>
      <c r="W2" s="50"/>
      <c r="X2" s="50"/>
      <c r="Y2" s="50"/>
      <c r="Z2" s="50"/>
    </row>
    <row r="3" spans="1:26" ht="15.75" customHeight="1">
      <c r="A3" s="69"/>
      <c r="B3" s="69"/>
      <c r="C3" s="69"/>
      <c r="D3" s="69"/>
      <c r="E3" s="69"/>
      <c r="F3" s="69"/>
      <c r="G3" s="69"/>
      <c r="H3" s="69"/>
      <c r="I3" s="74"/>
      <c r="J3" s="75"/>
      <c r="K3" s="75"/>
      <c r="L3" s="75"/>
      <c r="M3" s="75"/>
      <c r="N3" s="75"/>
      <c r="O3" s="76"/>
      <c r="P3" s="49"/>
      <c r="Q3" s="49"/>
      <c r="R3" s="49"/>
      <c r="S3" s="50"/>
      <c r="T3" s="50"/>
      <c r="U3" s="50"/>
      <c r="V3" s="50"/>
      <c r="W3" s="50"/>
      <c r="X3" s="50"/>
      <c r="Y3" s="50"/>
      <c r="Z3" s="50"/>
    </row>
    <row r="4" spans="1:26" ht="15.75" customHeight="1">
      <c r="A4" s="70"/>
      <c r="B4" s="70"/>
      <c r="C4" s="70"/>
      <c r="D4" s="70"/>
      <c r="E4" s="70"/>
      <c r="F4" s="70"/>
      <c r="G4" s="70"/>
      <c r="H4" s="70"/>
      <c r="I4" s="49" t="s">
        <v>10</v>
      </c>
      <c r="J4" s="49" t="s">
        <v>11</v>
      </c>
      <c r="K4" s="49" t="s">
        <v>12</v>
      </c>
      <c r="L4" s="49" t="s">
        <v>13</v>
      </c>
      <c r="M4" s="49" t="s">
        <v>14</v>
      </c>
      <c r="N4" s="49" t="s">
        <v>15</v>
      </c>
      <c r="O4" s="49" t="s">
        <v>329</v>
      </c>
      <c r="P4" s="49" t="s">
        <v>19</v>
      </c>
      <c r="Q4" s="49" t="s">
        <v>20</v>
      </c>
      <c r="R4" s="49"/>
      <c r="S4" s="50"/>
      <c r="T4" s="50"/>
      <c r="U4" s="50"/>
      <c r="V4" s="50"/>
      <c r="W4" s="50"/>
      <c r="X4" s="50"/>
      <c r="Y4" s="50"/>
      <c r="Z4" s="50"/>
    </row>
    <row r="5" spans="1:26" ht="15.75" customHeight="1">
      <c r="A5" s="4"/>
      <c r="B5" s="5"/>
      <c r="C5" s="5"/>
      <c r="D5" s="6"/>
      <c r="E5" s="7"/>
      <c r="F5" s="7"/>
      <c r="G5" s="7"/>
      <c r="H5" s="4"/>
      <c r="I5" s="49"/>
      <c r="J5" s="49"/>
      <c r="K5" s="49"/>
      <c r="L5" s="49"/>
      <c r="M5" s="51"/>
      <c r="N5" s="51"/>
      <c r="O5" s="51"/>
      <c r="P5" s="51"/>
      <c r="Q5" s="51"/>
      <c r="R5" s="51"/>
      <c r="S5" s="50"/>
      <c r="T5" s="50"/>
      <c r="U5" s="50"/>
      <c r="V5" s="50"/>
      <c r="W5" s="50"/>
      <c r="X5" s="50"/>
      <c r="Y5" s="50"/>
      <c r="Z5" s="50"/>
    </row>
    <row r="6" spans="1:26" ht="15.75" customHeight="1">
      <c r="A6" s="4"/>
      <c r="B6" s="5" t="s">
        <v>330</v>
      </c>
      <c r="C6" s="5" t="s">
        <v>331</v>
      </c>
      <c r="D6" s="6" t="s">
        <v>332</v>
      </c>
      <c r="E6" s="52"/>
      <c r="F6" s="52"/>
      <c r="G6" s="52"/>
      <c r="H6" s="53" t="s">
        <v>333</v>
      </c>
      <c r="I6" s="30">
        <f>12</f>
        <v>12</v>
      </c>
      <c r="J6" s="51">
        <v>18</v>
      </c>
      <c r="K6" s="51">
        <v>12</v>
      </c>
      <c r="L6" s="51">
        <v>24</v>
      </c>
      <c r="M6" s="51">
        <v>12</v>
      </c>
      <c r="N6" s="51">
        <v>30</v>
      </c>
      <c r="O6" s="51">
        <v>71</v>
      </c>
      <c r="P6" s="54">
        <v>12</v>
      </c>
      <c r="Q6" s="54">
        <v>36</v>
      </c>
      <c r="R6" s="54"/>
      <c r="S6" s="50"/>
      <c r="T6" s="50"/>
      <c r="U6" s="50"/>
      <c r="V6" s="50"/>
      <c r="W6" s="50"/>
      <c r="X6" s="50"/>
      <c r="Y6" s="50"/>
      <c r="Z6" s="50"/>
    </row>
    <row r="7" spans="1:26" ht="15.75" customHeight="1">
      <c r="A7" s="4"/>
      <c r="B7" s="5" t="s">
        <v>330</v>
      </c>
      <c r="C7" s="5" t="s">
        <v>334</v>
      </c>
      <c r="D7" s="6" t="s">
        <v>335</v>
      </c>
      <c r="E7" s="52"/>
      <c r="F7" s="52"/>
      <c r="G7" s="52"/>
      <c r="H7" s="53" t="s">
        <v>336</v>
      </c>
      <c r="I7" s="30">
        <v>18</v>
      </c>
      <c r="J7" s="51">
        <v>24</v>
      </c>
      <c r="K7" s="51">
        <v>18</v>
      </c>
      <c r="L7" s="51">
        <v>30</v>
      </c>
      <c r="M7" s="51">
        <v>18</v>
      </c>
      <c r="N7" s="51">
        <v>59</v>
      </c>
      <c r="O7" s="51">
        <v>118</v>
      </c>
      <c r="P7" s="54">
        <v>12</v>
      </c>
      <c r="Q7" s="54">
        <v>36</v>
      </c>
      <c r="R7" s="54"/>
      <c r="S7" s="50"/>
      <c r="T7" s="50"/>
      <c r="U7" s="50"/>
      <c r="V7" s="50"/>
      <c r="W7" s="50"/>
      <c r="X7" s="50"/>
      <c r="Y7" s="50"/>
      <c r="Z7" s="50"/>
    </row>
    <row r="8" spans="1:26" ht="15.75" customHeight="1">
      <c r="A8" s="4"/>
      <c r="B8" s="5" t="s">
        <v>550</v>
      </c>
      <c r="C8" s="5" t="s">
        <v>551</v>
      </c>
      <c r="D8" s="6" t="s">
        <v>339</v>
      </c>
      <c r="E8" s="52"/>
      <c r="F8" s="52"/>
      <c r="G8" s="52"/>
      <c r="H8" s="53" t="s">
        <v>552</v>
      </c>
      <c r="I8" s="30">
        <v>24</v>
      </c>
      <c r="J8" s="51">
        <v>30</v>
      </c>
      <c r="K8" s="51">
        <v>36</v>
      </c>
      <c r="L8" s="51">
        <v>56</v>
      </c>
      <c r="M8" s="51">
        <v>24</v>
      </c>
      <c r="N8" s="51">
        <v>71</v>
      </c>
      <c r="O8" s="51">
        <v>148</v>
      </c>
      <c r="P8" s="54">
        <v>12</v>
      </c>
      <c r="Q8" s="54">
        <v>60</v>
      </c>
      <c r="R8" s="54"/>
      <c r="S8" s="50"/>
      <c r="T8" s="50"/>
      <c r="U8" s="50"/>
      <c r="V8" s="50"/>
      <c r="W8" s="50"/>
      <c r="X8" s="50"/>
      <c r="Y8" s="50"/>
      <c r="Z8" s="50"/>
    </row>
    <row r="9" spans="1:26" ht="15.75" customHeight="1">
      <c r="A9" s="4"/>
      <c r="B9" s="5" t="s">
        <v>22</v>
      </c>
      <c r="C9" s="5" t="s">
        <v>553</v>
      </c>
      <c r="D9" s="6" t="s">
        <v>339</v>
      </c>
      <c r="E9" s="52"/>
      <c r="F9" s="52"/>
      <c r="G9" s="52"/>
      <c r="H9" s="53" t="s">
        <v>554</v>
      </c>
      <c r="I9" s="30">
        <v>24</v>
      </c>
      <c r="J9" s="51">
        <v>30</v>
      </c>
      <c r="K9" s="51">
        <v>36</v>
      </c>
      <c r="L9" s="51">
        <v>56</v>
      </c>
      <c r="M9" s="51">
        <v>24</v>
      </c>
      <c r="N9" s="51">
        <v>71</v>
      </c>
      <c r="O9" s="51">
        <v>178</v>
      </c>
      <c r="P9" s="54">
        <v>12</v>
      </c>
      <c r="Q9" s="54">
        <v>60</v>
      </c>
      <c r="R9" s="54"/>
      <c r="S9" s="50"/>
      <c r="T9" s="50"/>
      <c r="U9" s="50"/>
      <c r="V9" s="50"/>
      <c r="W9" s="50"/>
      <c r="X9" s="50"/>
      <c r="Y9" s="50"/>
      <c r="Z9" s="50"/>
    </row>
    <row r="10" spans="1:26" ht="15.75" customHeight="1">
      <c r="A10" s="4"/>
      <c r="B10" s="5" t="s">
        <v>22</v>
      </c>
      <c r="C10" s="5" t="s">
        <v>555</v>
      </c>
      <c r="D10" s="6" t="s">
        <v>339</v>
      </c>
      <c r="E10" s="52"/>
      <c r="F10" s="52"/>
      <c r="G10" s="52"/>
      <c r="H10" s="53" t="s">
        <v>556</v>
      </c>
      <c r="I10" s="30">
        <v>18</v>
      </c>
      <c r="J10" s="51">
        <v>24</v>
      </c>
      <c r="K10" s="51">
        <v>24</v>
      </c>
      <c r="L10" s="51">
        <v>36</v>
      </c>
      <c r="M10" s="51">
        <v>18</v>
      </c>
      <c r="N10" s="51">
        <v>41</v>
      </c>
      <c r="O10" s="51">
        <v>89</v>
      </c>
      <c r="P10" s="54">
        <v>12</v>
      </c>
      <c r="Q10" s="54">
        <v>36</v>
      </c>
      <c r="R10" s="54"/>
      <c r="S10" s="50"/>
      <c r="T10" s="50"/>
      <c r="U10" s="50"/>
      <c r="V10" s="50"/>
      <c r="W10" s="50"/>
      <c r="X10" s="50"/>
      <c r="Y10" s="50"/>
      <c r="Z10" s="50"/>
    </row>
    <row r="11" spans="1:26" ht="15.75" customHeight="1">
      <c r="A11" s="4"/>
      <c r="B11" s="5" t="s">
        <v>550</v>
      </c>
      <c r="C11" s="55" t="s">
        <v>557</v>
      </c>
      <c r="D11" s="6" t="s">
        <v>339</v>
      </c>
      <c r="E11" s="52"/>
      <c r="F11" s="52"/>
      <c r="G11" s="52"/>
      <c r="H11" s="53" t="s">
        <v>283</v>
      </c>
      <c r="I11" s="30">
        <v>30</v>
      </c>
      <c r="J11" s="51">
        <v>36</v>
      </c>
      <c r="K11" s="51">
        <v>38</v>
      </c>
      <c r="L11" s="51">
        <v>50</v>
      </c>
      <c r="M11" s="51">
        <v>30</v>
      </c>
      <c r="N11" s="51">
        <v>89</v>
      </c>
      <c r="O11" s="51">
        <v>178</v>
      </c>
      <c r="P11" s="54">
        <v>12</v>
      </c>
      <c r="Q11" s="54">
        <v>36</v>
      </c>
      <c r="R11" s="54"/>
      <c r="S11" s="50"/>
      <c r="T11" s="50"/>
      <c r="U11" s="50"/>
      <c r="V11" s="50"/>
      <c r="W11" s="50"/>
      <c r="X11" s="50"/>
      <c r="Y11" s="50"/>
      <c r="Z11" s="50"/>
    </row>
    <row r="12" spans="1:26" ht="15.75" customHeight="1">
      <c r="A12" s="4"/>
      <c r="B12" s="5"/>
      <c r="C12" s="5"/>
      <c r="D12" s="6"/>
      <c r="E12" s="52"/>
      <c r="F12" s="52"/>
      <c r="G12" s="52"/>
      <c r="H12" s="53"/>
      <c r="I12" s="30"/>
      <c r="J12" s="51"/>
      <c r="K12" s="51"/>
      <c r="L12" s="51"/>
      <c r="M12" s="51"/>
      <c r="N12" s="51"/>
      <c r="O12" s="51"/>
      <c r="P12" s="54"/>
      <c r="Q12" s="54"/>
      <c r="R12" s="54"/>
      <c r="S12" s="50"/>
      <c r="T12" s="50"/>
      <c r="U12" s="50"/>
      <c r="V12" s="50"/>
      <c r="W12" s="50"/>
      <c r="X12" s="50"/>
      <c r="Y12" s="50"/>
      <c r="Z12" s="50"/>
    </row>
    <row r="13" spans="1:26" ht="15.75" customHeight="1">
      <c r="A13" s="4"/>
      <c r="B13" s="5" t="s">
        <v>22</v>
      </c>
      <c r="C13" s="5" t="s">
        <v>558</v>
      </c>
      <c r="D13" s="6" t="s">
        <v>30</v>
      </c>
      <c r="E13" s="52"/>
      <c r="F13" s="52"/>
      <c r="G13" s="52"/>
      <c r="H13" s="53" t="s">
        <v>559</v>
      </c>
      <c r="I13" s="51">
        <v>36</v>
      </c>
      <c r="J13" s="51">
        <v>41</v>
      </c>
      <c r="K13" s="51">
        <v>47</v>
      </c>
      <c r="L13" s="51">
        <v>59</v>
      </c>
      <c r="M13" s="51">
        <v>36</v>
      </c>
      <c r="N13" s="51">
        <v>130</v>
      </c>
      <c r="O13" s="51">
        <v>237</v>
      </c>
      <c r="P13" s="54">
        <v>12</v>
      </c>
      <c r="Q13" s="54">
        <v>60</v>
      </c>
      <c r="R13" s="54"/>
      <c r="S13" s="50"/>
      <c r="T13" s="50"/>
      <c r="U13" s="50"/>
      <c r="V13" s="50"/>
      <c r="W13" s="50"/>
      <c r="X13" s="50"/>
      <c r="Y13" s="50"/>
      <c r="Z13" s="50"/>
    </row>
    <row r="14" spans="1:26" ht="15.75" customHeight="1">
      <c r="A14" s="4"/>
      <c r="B14" s="5" t="s">
        <v>22</v>
      </c>
      <c r="C14" s="5" t="s">
        <v>560</v>
      </c>
      <c r="D14" s="6" t="s">
        <v>30</v>
      </c>
      <c r="E14" s="52"/>
      <c r="F14" s="52"/>
      <c r="G14" s="52"/>
      <c r="H14" s="53" t="s">
        <v>561</v>
      </c>
      <c r="I14" s="51">
        <v>41</v>
      </c>
      <c r="J14" s="51">
        <v>47</v>
      </c>
      <c r="K14" s="51">
        <v>53</v>
      </c>
      <c r="L14" s="51">
        <v>65</v>
      </c>
      <c r="M14" s="51">
        <v>41</v>
      </c>
      <c r="N14" s="51">
        <v>148</v>
      </c>
      <c r="O14" s="51">
        <v>266</v>
      </c>
      <c r="P14" s="54">
        <v>12</v>
      </c>
      <c r="Q14" s="54">
        <v>60</v>
      </c>
      <c r="R14" s="54"/>
      <c r="S14" s="50"/>
      <c r="T14" s="50"/>
      <c r="U14" s="50"/>
      <c r="V14" s="50"/>
      <c r="W14" s="50"/>
      <c r="X14" s="50"/>
      <c r="Y14" s="50"/>
      <c r="Z14" s="50"/>
    </row>
    <row r="15" spans="1:26" ht="15.75" customHeight="1">
      <c r="A15" s="4"/>
      <c r="B15" s="5"/>
      <c r="C15" s="5"/>
      <c r="D15" s="6"/>
      <c r="E15" s="52"/>
      <c r="F15" s="52"/>
      <c r="G15" s="52"/>
      <c r="H15" s="53"/>
      <c r="I15" s="56"/>
      <c r="J15" s="57"/>
      <c r="K15" s="57"/>
      <c r="L15" s="57"/>
      <c r="M15" s="57"/>
      <c r="N15" s="58"/>
      <c r="O15" s="51"/>
      <c r="P15" s="54"/>
      <c r="Q15" s="54"/>
      <c r="R15" s="54"/>
      <c r="S15" s="50"/>
      <c r="T15" s="50"/>
      <c r="U15" s="50"/>
      <c r="V15" s="50"/>
      <c r="W15" s="50"/>
      <c r="X15" s="50"/>
      <c r="Y15" s="50"/>
      <c r="Z15" s="50"/>
    </row>
    <row r="16" spans="1:26" ht="15.75" customHeight="1">
      <c r="A16" s="4"/>
      <c r="B16" s="5"/>
      <c r="C16" s="5"/>
      <c r="D16" s="6"/>
      <c r="E16" s="52"/>
      <c r="F16" s="52"/>
      <c r="G16" s="52"/>
      <c r="H16" s="53"/>
      <c r="I16" s="30"/>
      <c r="J16" s="57"/>
      <c r="K16" s="57"/>
      <c r="L16" s="57"/>
      <c r="M16" s="57"/>
      <c r="N16" s="58"/>
      <c r="O16" s="51"/>
      <c r="P16" s="30"/>
      <c r="Q16" s="54"/>
      <c r="R16" s="54"/>
      <c r="S16" s="50"/>
      <c r="T16" s="50"/>
      <c r="U16" s="50"/>
      <c r="V16" s="50"/>
      <c r="W16" s="50"/>
      <c r="X16" s="50"/>
      <c r="Y16" s="50"/>
      <c r="Z16" s="50"/>
    </row>
    <row r="17" spans="1:26" ht="15.75" customHeight="1">
      <c r="A17" s="4"/>
      <c r="B17" s="5"/>
      <c r="C17" s="5"/>
      <c r="D17" s="6"/>
      <c r="E17" s="52"/>
      <c r="F17" s="52"/>
      <c r="G17" s="52"/>
      <c r="H17" s="53"/>
      <c r="I17" s="30"/>
      <c r="J17" s="57"/>
      <c r="K17" s="57"/>
      <c r="L17" s="57"/>
      <c r="M17" s="57"/>
      <c r="N17" s="58"/>
      <c r="O17" s="51"/>
      <c r="P17" s="54"/>
      <c r="Q17" s="57"/>
      <c r="R17" s="57"/>
      <c r="S17" s="50"/>
      <c r="T17" s="50"/>
      <c r="U17" s="50"/>
      <c r="V17" s="50"/>
      <c r="W17" s="50"/>
      <c r="X17" s="50"/>
      <c r="Y17" s="50"/>
      <c r="Z17" s="50"/>
    </row>
    <row r="18" spans="1:26" ht="15.75" customHeight="1">
      <c r="A18" s="4"/>
      <c r="B18" s="5"/>
      <c r="C18" s="5"/>
      <c r="D18" s="6"/>
      <c r="E18" s="52"/>
      <c r="F18" s="52"/>
      <c r="G18" s="52"/>
      <c r="H18" s="53"/>
      <c r="I18" s="30"/>
      <c r="J18" s="57"/>
      <c r="K18" s="57"/>
      <c r="L18" s="57"/>
      <c r="M18" s="57"/>
      <c r="N18" s="58"/>
      <c r="O18" s="51"/>
      <c r="P18" s="54"/>
      <c r="Q18" s="57"/>
      <c r="R18" s="57"/>
      <c r="S18" s="50"/>
      <c r="T18" s="50"/>
      <c r="U18" s="50"/>
      <c r="V18" s="50"/>
      <c r="W18" s="50"/>
      <c r="X18" s="50"/>
      <c r="Y18" s="50"/>
      <c r="Z18" s="50"/>
    </row>
    <row r="19" spans="1:26" ht="15.75" customHeight="1">
      <c r="A19" s="4"/>
      <c r="B19" s="5"/>
      <c r="C19" s="5"/>
      <c r="D19" s="6"/>
      <c r="E19" s="52"/>
      <c r="F19" s="52"/>
      <c r="G19" s="52"/>
      <c r="H19" s="53"/>
      <c r="I19" s="56"/>
      <c r="J19" s="57"/>
      <c r="K19" s="57"/>
      <c r="L19" s="57"/>
      <c r="M19" s="57"/>
      <c r="N19" s="58"/>
      <c r="O19" s="51"/>
      <c r="P19" s="54"/>
      <c r="Q19" s="57"/>
      <c r="R19" s="57"/>
      <c r="S19" s="50"/>
      <c r="T19" s="50"/>
      <c r="U19" s="50"/>
      <c r="V19" s="50"/>
      <c r="W19" s="50"/>
      <c r="X19" s="50"/>
      <c r="Y19" s="50"/>
      <c r="Z19" s="50"/>
    </row>
    <row r="20" spans="1:26" ht="15.75" customHeight="1">
      <c r="A20" s="4"/>
      <c r="B20" s="5"/>
      <c r="C20" s="5"/>
      <c r="D20" s="6"/>
      <c r="E20" s="52"/>
      <c r="F20" s="52"/>
      <c r="G20" s="52"/>
      <c r="H20" s="53"/>
      <c r="I20" s="30"/>
      <c r="J20" s="57"/>
      <c r="K20" s="57"/>
      <c r="L20" s="57"/>
      <c r="M20" s="57"/>
      <c r="N20" s="58"/>
      <c r="O20" s="51"/>
      <c r="P20" s="54"/>
      <c r="Q20" s="57"/>
      <c r="R20" s="57"/>
      <c r="S20" s="50"/>
      <c r="T20" s="50"/>
      <c r="U20" s="50"/>
      <c r="V20" s="50"/>
      <c r="W20" s="50"/>
      <c r="X20" s="50"/>
      <c r="Y20" s="50"/>
      <c r="Z20" s="50"/>
    </row>
    <row r="21" spans="1:26" ht="15.75" customHeight="1">
      <c r="A21" s="4"/>
      <c r="B21" s="5"/>
      <c r="C21" s="5"/>
      <c r="D21" s="6"/>
      <c r="E21" s="52"/>
      <c r="F21" s="52"/>
      <c r="G21" s="52"/>
      <c r="H21" s="53"/>
      <c r="I21" s="30"/>
      <c r="J21" s="57"/>
      <c r="K21" s="57"/>
      <c r="L21" s="57"/>
      <c r="M21" s="57"/>
      <c r="N21" s="58"/>
      <c r="O21" s="51"/>
      <c r="P21" s="54"/>
      <c r="Q21" s="57"/>
      <c r="R21" s="57"/>
      <c r="S21" s="50"/>
      <c r="T21" s="50"/>
      <c r="U21" s="50"/>
      <c r="V21" s="50"/>
      <c r="W21" s="50"/>
      <c r="X21" s="50"/>
      <c r="Y21" s="50"/>
      <c r="Z21" s="50"/>
    </row>
    <row r="22" spans="1:26" ht="15.75" customHeight="1">
      <c r="A22" s="4"/>
      <c r="B22" s="5"/>
      <c r="C22" s="5"/>
      <c r="D22" s="6"/>
      <c r="E22" s="52"/>
      <c r="F22" s="52"/>
      <c r="G22" s="52"/>
      <c r="H22" s="53"/>
      <c r="I22" s="30"/>
      <c r="J22" s="57"/>
      <c r="K22" s="57"/>
      <c r="L22" s="57"/>
      <c r="M22" s="57"/>
      <c r="N22" s="58"/>
      <c r="O22" s="51"/>
      <c r="P22" s="54"/>
      <c r="Q22" s="57"/>
      <c r="R22" s="57"/>
      <c r="S22" s="50"/>
      <c r="T22" s="50"/>
      <c r="U22" s="50"/>
      <c r="V22" s="50"/>
      <c r="W22" s="50"/>
      <c r="X22" s="50"/>
      <c r="Y22" s="50"/>
      <c r="Z22" s="50"/>
    </row>
    <row r="23" spans="1:26" ht="15.75" customHeight="1">
      <c r="A23" s="4"/>
      <c r="B23" s="5"/>
      <c r="C23" s="5"/>
      <c r="D23" s="6"/>
      <c r="E23" s="52"/>
      <c r="F23" s="52"/>
      <c r="G23" s="52"/>
      <c r="H23" s="53"/>
      <c r="I23" s="59"/>
      <c r="J23" s="60"/>
      <c r="K23" s="60"/>
      <c r="L23" s="60"/>
      <c r="M23" s="60"/>
      <c r="N23" s="58"/>
      <c r="O23" s="51"/>
      <c r="P23" s="57"/>
      <c r="Q23" s="57"/>
      <c r="R23" s="57"/>
      <c r="S23" s="50"/>
      <c r="T23" s="50"/>
      <c r="U23" s="50"/>
      <c r="V23" s="50"/>
      <c r="W23" s="50"/>
      <c r="X23" s="50"/>
      <c r="Y23" s="50"/>
      <c r="Z23" s="50"/>
    </row>
    <row r="24" spans="1:26" ht="15.75" customHeight="1">
      <c r="A24" s="4"/>
      <c r="B24" s="5"/>
      <c r="C24" s="5"/>
      <c r="D24" s="6"/>
      <c r="E24" s="52"/>
      <c r="F24" s="52"/>
      <c r="G24" s="52"/>
      <c r="H24" s="53"/>
      <c r="I24" s="30"/>
      <c r="J24" s="60"/>
      <c r="K24" s="60"/>
      <c r="L24" s="60"/>
      <c r="M24" s="60"/>
      <c r="N24" s="58"/>
      <c r="O24" s="51"/>
      <c r="P24" s="54"/>
      <c r="Q24" s="30"/>
      <c r="R24" s="61"/>
      <c r="S24" s="50"/>
      <c r="T24" s="50"/>
      <c r="U24" s="50"/>
      <c r="V24" s="50"/>
      <c r="W24" s="50"/>
      <c r="X24" s="50"/>
      <c r="Y24" s="50"/>
      <c r="Z24" s="50"/>
    </row>
    <row r="25" spans="1:26" ht="15.75" customHeight="1">
      <c r="A25" s="4"/>
      <c r="B25" s="5"/>
      <c r="C25" s="5"/>
      <c r="D25" s="6"/>
      <c r="E25" s="52"/>
      <c r="F25" s="52"/>
      <c r="G25" s="52"/>
      <c r="H25" s="53"/>
      <c r="I25" s="30"/>
      <c r="J25" s="60"/>
      <c r="K25" s="60"/>
      <c r="L25" s="60"/>
      <c r="M25" s="60"/>
      <c r="N25" s="58"/>
      <c r="O25" s="51"/>
      <c r="P25" s="54"/>
      <c r="Q25" s="60"/>
      <c r="R25" s="60"/>
      <c r="S25" s="50"/>
      <c r="T25" s="50"/>
      <c r="U25" s="50"/>
      <c r="V25" s="50"/>
      <c r="W25" s="50"/>
      <c r="X25" s="50"/>
      <c r="Y25" s="50"/>
      <c r="Z25" s="50"/>
    </row>
    <row r="26" spans="1:26" ht="15.75" customHeight="1">
      <c r="A26" s="4"/>
      <c r="B26" s="5"/>
      <c r="C26" s="5"/>
      <c r="D26" s="6"/>
      <c r="E26" s="52"/>
      <c r="F26" s="52"/>
      <c r="G26" s="52"/>
      <c r="H26" s="53"/>
      <c r="I26" s="30"/>
      <c r="J26" s="60"/>
      <c r="K26" s="60"/>
      <c r="L26" s="60"/>
      <c r="M26" s="60"/>
      <c r="N26" s="58"/>
      <c r="O26" s="51"/>
      <c r="P26" s="54"/>
      <c r="Q26" s="59"/>
      <c r="R26" s="59"/>
      <c r="S26" s="50"/>
      <c r="T26" s="50"/>
      <c r="U26" s="50"/>
      <c r="V26" s="50"/>
      <c r="W26" s="50"/>
      <c r="X26" s="50"/>
      <c r="Y26" s="50"/>
      <c r="Z26" s="50"/>
    </row>
    <row r="27" spans="1:26" ht="15.75" customHeight="1">
      <c r="A27" s="4"/>
      <c r="B27" s="5"/>
      <c r="C27" s="5"/>
      <c r="D27" s="6"/>
      <c r="E27" s="52"/>
      <c r="F27" s="52"/>
      <c r="G27" s="52"/>
      <c r="H27" s="53"/>
      <c r="I27" s="59"/>
      <c r="J27" s="60"/>
      <c r="K27" s="60"/>
      <c r="L27" s="60"/>
      <c r="M27" s="60"/>
      <c r="N27" s="58"/>
      <c r="O27" s="51"/>
      <c r="P27" s="60"/>
      <c r="Q27" s="60"/>
      <c r="R27" s="60"/>
      <c r="S27" s="50"/>
      <c r="T27" s="50"/>
      <c r="U27" s="50"/>
      <c r="V27" s="50"/>
      <c r="W27" s="50"/>
      <c r="X27" s="50"/>
      <c r="Y27" s="50"/>
      <c r="Z27" s="50"/>
    </row>
    <row r="28" spans="1:26" ht="15.75" customHeight="1">
      <c r="A28" s="4"/>
      <c r="B28" s="5"/>
      <c r="C28" s="5"/>
      <c r="D28" s="6"/>
      <c r="E28" s="52"/>
      <c r="F28" s="52"/>
      <c r="G28" s="52"/>
      <c r="H28" s="53"/>
      <c r="I28" s="59"/>
      <c r="J28" s="60"/>
      <c r="K28" s="60"/>
      <c r="L28" s="60"/>
      <c r="M28" s="60"/>
      <c r="N28" s="58"/>
      <c r="O28" s="51"/>
      <c r="P28" s="60"/>
      <c r="Q28" s="60"/>
      <c r="R28" s="60"/>
      <c r="S28" s="50"/>
      <c r="T28" s="50"/>
      <c r="U28" s="50"/>
      <c r="V28" s="50"/>
      <c r="W28" s="50"/>
      <c r="X28" s="50"/>
      <c r="Y28" s="50"/>
      <c r="Z28" s="50"/>
    </row>
    <row r="29" spans="1:26" ht="15.75" customHeight="1">
      <c r="A29" s="4"/>
      <c r="B29" s="5"/>
      <c r="C29" s="5"/>
      <c r="D29" s="6"/>
      <c r="E29" s="52"/>
      <c r="F29" s="52"/>
      <c r="G29" s="52"/>
      <c r="H29" s="53"/>
      <c r="I29" s="30"/>
      <c r="J29" s="60"/>
      <c r="K29" s="60"/>
      <c r="L29" s="60"/>
      <c r="M29" s="60"/>
      <c r="N29" s="58"/>
      <c r="O29" s="51"/>
      <c r="P29" s="30"/>
      <c r="Q29" s="30"/>
      <c r="R29" s="61"/>
      <c r="S29" s="50"/>
      <c r="T29" s="50"/>
      <c r="U29" s="50"/>
      <c r="V29" s="50"/>
      <c r="W29" s="50"/>
      <c r="X29" s="50"/>
      <c r="Y29" s="50"/>
      <c r="Z29" s="50"/>
    </row>
    <row r="30" spans="1:26" ht="15.75" customHeight="1">
      <c r="A30" s="4"/>
      <c r="B30" s="5"/>
      <c r="C30" s="5"/>
      <c r="D30" s="6"/>
      <c r="E30" s="52"/>
      <c r="F30" s="52"/>
      <c r="G30" s="52"/>
      <c r="H30" s="53"/>
      <c r="I30" s="59"/>
      <c r="J30" s="60"/>
      <c r="K30" s="60"/>
      <c r="L30" s="60"/>
      <c r="M30" s="62"/>
      <c r="N30" s="54"/>
      <c r="O30" s="51"/>
      <c r="P30" s="30"/>
      <c r="Q30" s="60"/>
      <c r="R30" s="60"/>
      <c r="S30" s="50"/>
      <c r="T30" s="50"/>
      <c r="U30" s="50"/>
      <c r="V30" s="50"/>
      <c r="W30" s="50"/>
      <c r="X30" s="50"/>
      <c r="Y30" s="50"/>
      <c r="Z30" s="50"/>
    </row>
    <row r="31" spans="1:26" ht="15.75" customHeight="1">
      <c r="A31" s="4"/>
      <c r="B31" s="5"/>
      <c r="C31" s="5"/>
      <c r="D31" s="6"/>
      <c r="E31" s="52"/>
      <c r="F31" s="52"/>
      <c r="G31" s="52"/>
      <c r="H31" s="53"/>
      <c r="I31" s="30"/>
      <c r="J31" s="60"/>
      <c r="K31" s="60"/>
      <c r="L31" s="60"/>
      <c r="M31" s="62"/>
      <c r="N31" s="54"/>
      <c r="O31" s="51"/>
      <c r="P31" s="30"/>
      <c r="Q31" s="59"/>
      <c r="R31" s="59"/>
      <c r="S31" s="50"/>
      <c r="T31" s="50"/>
      <c r="U31" s="50"/>
      <c r="V31" s="50"/>
      <c r="W31" s="50"/>
      <c r="X31" s="50"/>
      <c r="Y31" s="50"/>
      <c r="Z31" s="50"/>
    </row>
    <row r="32" spans="1:26" ht="15.75" customHeight="1">
      <c r="A32" s="4"/>
      <c r="B32" s="5"/>
      <c r="C32" s="5"/>
      <c r="D32" s="6"/>
      <c r="E32" s="52"/>
      <c r="F32" s="52"/>
      <c r="G32" s="52"/>
      <c r="H32" s="53"/>
      <c r="I32" s="59"/>
      <c r="J32" s="60"/>
      <c r="K32" s="60"/>
      <c r="L32" s="60"/>
      <c r="M32" s="62"/>
      <c r="N32" s="54"/>
      <c r="O32" s="51"/>
      <c r="P32" s="30"/>
      <c r="Q32" s="60"/>
      <c r="R32" s="62"/>
      <c r="S32" s="50"/>
      <c r="T32" s="50"/>
      <c r="U32" s="50"/>
      <c r="V32" s="50"/>
      <c r="W32" s="50"/>
      <c r="X32" s="50"/>
      <c r="Y32" s="50"/>
      <c r="Z32" s="50"/>
    </row>
    <row r="33" spans="1:26" ht="15.75" customHeight="1">
      <c r="A33" s="4"/>
      <c r="B33" s="5"/>
      <c r="C33" s="5"/>
      <c r="D33" s="6"/>
      <c r="E33" s="52"/>
      <c r="F33" s="52"/>
      <c r="G33" s="52"/>
      <c r="H33" s="53"/>
      <c r="I33" s="30"/>
      <c r="J33" s="62"/>
      <c r="K33" s="62"/>
      <c r="L33" s="62"/>
      <c r="M33" s="62"/>
      <c r="N33" s="54"/>
      <c r="O33" s="51"/>
      <c r="P33" s="30"/>
      <c r="Q33" s="63"/>
      <c r="R33" s="63"/>
      <c r="S33" s="50"/>
      <c r="T33" s="50"/>
      <c r="U33" s="50"/>
      <c r="V33" s="50"/>
      <c r="W33" s="50"/>
      <c r="X33" s="50"/>
      <c r="Y33" s="50"/>
      <c r="Z33" s="50"/>
    </row>
    <row r="34" spans="1:26" ht="15.75" customHeight="1">
      <c r="A34" s="4"/>
      <c r="B34" s="5"/>
      <c r="C34" s="5"/>
      <c r="D34" s="6"/>
      <c r="E34" s="52"/>
      <c r="F34" s="52"/>
      <c r="G34" s="52"/>
      <c r="H34" s="53"/>
      <c r="I34" s="30"/>
      <c r="J34" s="63"/>
      <c r="K34" s="63"/>
      <c r="L34" s="63"/>
      <c r="M34" s="63"/>
      <c r="N34" s="54"/>
      <c r="O34" s="51"/>
      <c r="P34" s="30"/>
      <c r="Q34" s="62"/>
      <c r="R34" s="62"/>
      <c r="S34" s="50"/>
      <c r="T34" s="50"/>
      <c r="U34" s="50"/>
      <c r="V34" s="50"/>
      <c r="W34" s="50"/>
      <c r="X34" s="50"/>
      <c r="Y34" s="50"/>
      <c r="Z34" s="50"/>
    </row>
    <row r="35" spans="1:26" ht="15.75" customHeight="1">
      <c r="A35" s="4"/>
      <c r="B35" s="5"/>
      <c r="C35" s="5"/>
      <c r="D35" s="6"/>
      <c r="E35" s="52"/>
      <c r="F35" s="52"/>
      <c r="G35" s="52"/>
      <c r="H35" s="53"/>
      <c r="I35" s="54"/>
      <c r="J35" s="63"/>
      <c r="K35" s="63"/>
      <c r="L35" s="63"/>
      <c r="M35" s="63"/>
      <c r="N35" s="54"/>
      <c r="O35" s="51"/>
      <c r="P35" s="63"/>
      <c r="Q35" s="63"/>
      <c r="R35" s="63"/>
      <c r="S35" s="50"/>
      <c r="T35" s="50"/>
      <c r="U35" s="50"/>
      <c r="V35" s="50"/>
      <c r="W35" s="50"/>
      <c r="X35" s="50"/>
      <c r="Y35" s="50"/>
      <c r="Z35" s="50"/>
    </row>
    <row r="36" spans="1:26" ht="15.75" customHeight="1">
      <c r="A36" s="4"/>
      <c r="B36" s="5"/>
      <c r="C36" s="5"/>
      <c r="D36" s="6"/>
      <c r="E36" s="52"/>
      <c r="F36" s="52"/>
      <c r="G36" s="52"/>
      <c r="H36" s="53"/>
      <c r="I36" s="63"/>
      <c r="J36" s="63"/>
      <c r="K36" s="63"/>
      <c r="L36" s="63"/>
      <c r="M36" s="63"/>
      <c r="N36" s="54"/>
      <c r="O36" s="51"/>
      <c r="P36" s="58"/>
      <c r="Q36" s="58"/>
      <c r="R36" s="64"/>
      <c r="S36" s="50"/>
      <c r="T36" s="50"/>
      <c r="U36" s="50"/>
      <c r="V36" s="50"/>
      <c r="W36" s="50"/>
      <c r="X36" s="50"/>
      <c r="Y36" s="50"/>
      <c r="Z36" s="50"/>
    </row>
    <row r="37" spans="1:26" ht="15.75" customHeight="1">
      <c r="A37" s="4"/>
      <c r="B37" s="5"/>
      <c r="C37" s="5"/>
      <c r="D37" s="6"/>
      <c r="E37" s="52"/>
      <c r="F37" s="52"/>
      <c r="G37" s="52"/>
      <c r="H37" s="53"/>
      <c r="I37" s="59"/>
      <c r="J37" s="60"/>
      <c r="K37" s="60"/>
      <c r="L37" s="60"/>
      <c r="M37" s="62"/>
      <c r="N37" s="54"/>
      <c r="O37" s="51"/>
      <c r="P37" s="30"/>
      <c r="Q37" s="60"/>
      <c r="R37" s="64"/>
      <c r="S37" s="50"/>
      <c r="T37" s="50"/>
      <c r="U37" s="50"/>
      <c r="V37" s="50"/>
      <c r="W37" s="50"/>
      <c r="X37" s="50"/>
      <c r="Y37" s="50"/>
      <c r="Z37" s="50"/>
    </row>
    <row r="38" spans="1:26" ht="15.75" customHeight="1">
      <c r="A38" s="4"/>
      <c r="B38" s="5"/>
      <c r="C38" s="5"/>
      <c r="D38" s="6"/>
      <c r="E38" s="52"/>
      <c r="F38" s="52"/>
      <c r="G38" s="52"/>
      <c r="H38" s="53"/>
      <c r="I38" s="63"/>
      <c r="J38" s="63"/>
      <c r="K38" s="63"/>
      <c r="L38" s="63"/>
      <c r="M38" s="63"/>
      <c r="N38" s="54"/>
      <c r="O38" s="51"/>
      <c r="P38" s="58"/>
      <c r="Q38" s="58"/>
      <c r="R38" s="64"/>
      <c r="S38" s="50"/>
      <c r="T38" s="50"/>
      <c r="U38" s="50"/>
      <c r="V38" s="50"/>
      <c r="W38" s="50"/>
      <c r="X38" s="50"/>
      <c r="Y38" s="50"/>
      <c r="Z38" s="50"/>
    </row>
    <row r="39" spans="1:26" ht="15.75" customHeight="1">
      <c r="A39" s="4"/>
      <c r="B39" s="5"/>
      <c r="C39" s="5"/>
      <c r="D39" s="6"/>
      <c r="E39" s="52"/>
      <c r="F39" s="52"/>
      <c r="G39" s="52"/>
      <c r="H39" s="53"/>
      <c r="I39" s="59"/>
      <c r="J39" s="60"/>
      <c r="K39" s="60"/>
      <c r="L39" s="60"/>
      <c r="M39" s="62"/>
      <c r="N39" s="54"/>
      <c r="O39" s="51"/>
      <c r="P39" s="30"/>
      <c r="Q39" s="60"/>
      <c r="R39" s="63"/>
      <c r="S39" s="50"/>
      <c r="T39" s="50"/>
      <c r="U39" s="50"/>
      <c r="V39" s="50"/>
      <c r="W39" s="50"/>
      <c r="X39" s="50"/>
      <c r="Y39" s="50"/>
      <c r="Z39" s="50"/>
    </row>
    <row r="40" spans="1:26" ht="15.75" customHeight="1">
      <c r="A40" s="4"/>
      <c r="B40" s="5"/>
      <c r="C40" s="5"/>
      <c r="D40" s="6"/>
      <c r="E40" s="52"/>
      <c r="F40" s="52"/>
      <c r="G40" s="52"/>
      <c r="H40" s="53"/>
      <c r="I40" s="63"/>
      <c r="J40" s="63"/>
      <c r="K40" s="63"/>
      <c r="L40" s="63"/>
      <c r="M40" s="63"/>
      <c r="N40" s="54"/>
      <c r="O40" s="51"/>
      <c r="P40" s="58"/>
      <c r="Q40" s="54"/>
      <c r="R40" s="54"/>
      <c r="S40" s="50"/>
      <c r="T40" s="50"/>
      <c r="U40" s="50"/>
      <c r="V40" s="50"/>
      <c r="W40" s="50"/>
      <c r="X40" s="50"/>
      <c r="Y40" s="50"/>
      <c r="Z40" s="50"/>
    </row>
    <row r="41" spans="1:26" ht="15.75" customHeight="1">
      <c r="A41" s="4"/>
      <c r="B41" s="5"/>
      <c r="C41" s="5"/>
      <c r="D41" s="6"/>
      <c r="E41" s="52"/>
      <c r="F41" s="52"/>
      <c r="G41" s="52"/>
      <c r="H41" s="53"/>
      <c r="I41" s="59"/>
      <c r="J41" s="60"/>
      <c r="K41" s="60"/>
      <c r="L41" s="60"/>
      <c r="M41" s="62"/>
      <c r="N41" s="54"/>
      <c r="O41" s="51"/>
      <c r="P41" s="30"/>
      <c r="Q41" s="60"/>
      <c r="R41" s="63"/>
      <c r="S41" s="50"/>
      <c r="T41" s="50"/>
      <c r="U41" s="50"/>
      <c r="V41" s="50"/>
      <c r="W41" s="50"/>
      <c r="X41" s="50"/>
      <c r="Y41" s="50"/>
      <c r="Z41" s="50"/>
    </row>
    <row r="42" spans="1:26" ht="15.75" customHeight="1">
      <c r="A42" s="4"/>
      <c r="B42" s="5"/>
      <c r="C42" s="5"/>
      <c r="D42" s="6"/>
      <c r="E42" s="52"/>
      <c r="F42" s="52"/>
      <c r="G42" s="52"/>
      <c r="H42" s="53"/>
      <c r="I42" s="51"/>
      <c r="J42" s="51"/>
      <c r="K42" s="51"/>
      <c r="L42" s="51"/>
      <c r="M42" s="51"/>
      <c r="N42" s="51"/>
      <c r="O42" s="51"/>
      <c r="P42" s="54"/>
      <c r="Q42" s="54"/>
      <c r="R42" s="54"/>
      <c r="S42" s="50"/>
      <c r="T42" s="50"/>
      <c r="U42" s="50"/>
      <c r="V42" s="50"/>
      <c r="W42" s="50"/>
      <c r="X42" s="50"/>
      <c r="Y42" s="50"/>
      <c r="Z42" s="50"/>
    </row>
    <row r="43" spans="1:26" ht="15.75" customHeight="1">
      <c r="A43" s="4"/>
      <c r="B43" s="5"/>
      <c r="C43" s="5"/>
      <c r="D43" s="6"/>
      <c r="E43" s="52"/>
      <c r="F43" s="52"/>
      <c r="G43" s="52"/>
      <c r="H43" s="53"/>
      <c r="I43" s="63"/>
      <c r="J43" s="63"/>
      <c r="K43" s="63"/>
      <c r="L43" s="63"/>
      <c r="M43" s="63"/>
      <c r="N43" s="54"/>
      <c r="O43" s="51"/>
      <c r="P43" s="58"/>
      <c r="Q43" s="63"/>
      <c r="R43" s="63"/>
      <c r="S43" s="50"/>
      <c r="T43" s="50"/>
      <c r="U43" s="50"/>
      <c r="V43" s="50"/>
      <c r="W43" s="50"/>
      <c r="X43" s="50"/>
      <c r="Y43" s="50"/>
      <c r="Z43" s="50"/>
    </row>
    <row r="44" spans="1:26" ht="15.75" customHeight="1">
      <c r="A44" s="4"/>
      <c r="B44" s="5"/>
      <c r="C44" s="5"/>
      <c r="D44" s="6"/>
      <c r="E44" s="52"/>
      <c r="F44" s="52"/>
      <c r="G44" s="52"/>
      <c r="H44" s="53"/>
      <c r="I44" s="59"/>
      <c r="J44" s="60"/>
      <c r="K44" s="60"/>
      <c r="L44" s="60"/>
      <c r="M44" s="62"/>
      <c r="N44" s="54"/>
      <c r="O44" s="51"/>
      <c r="P44" s="30"/>
      <c r="Q44" s="60"/>
      <c r="R44" s="54"/>
      <c r="S44" s="50"/>
      <c r="T44" s="50"/>
      <c r="U44" s="50"/>
      <c r="V44" s="50"/>
      <c r="W44" s="50"/>
      <c r="X44" s="50"/>
      <c r="Y44" s="50"/>
      <c r="Z44" s="50"/>
    </row>
    <row r="45" spans="1:26" ht="15.75" customHeight="1">
      <c r="A45" s="4"/>
      <c r="B45" s="5"/>
      <c r="C45" s="5"/>
      <c r="D45" s="6"/>
      <c r="E45" s="52"/>
      <c r="F45" s="52"/>
      <c r="G45" s="52"/>
      <c r="H45" s="53"/>
      <c r="I45" s="63"/>
      <c r="J45" s="63"/>
      <c r="K45" s="63"/>
      <c r="L45" s="63"/>
      <c r="M45" s="63"/>
      <c r="N45" s="54"/>
      <c r="O45" s="51"/>
      <c r="P45" s="58"/>
      <c r="Q45" s="58"/>
      <c r="R45" s="64"/>
      <c r="S45" s="50"/>
      <c r="T45" s="50"/>
      <c r="U45" s="50"/>
      <c r="V45" s="50"/>
      <c r="W45" s="50"/>
      <c r="X45" s="50"/>
      <c r="Y45" s="50"/>
      <c r="Z45" s="50"/>
    </row>
    <row r="46" spans="1:26" ht="15.75" customHeight="1">
      <c r="A46" s="4"/>
      <c r="B46" s="5"/>
      <c r="C46" s="5"/>
      <c r="D46" s="6"/>
      <c r="E46" s="52"/>
      <c r="F46" s="52"/>
      <c r="G46" s="52"/>
      <c r="H46" s="53"/>
      <c r="I46" s="59"/>
      <c r="J46" s="60"/>
      <c r="K46" s="60"/>
      <c r="L46" s="60"/>
      <c r="M46" s="62"/>
      <c r="N46" s="54"/>
      <c r="O46" s="51"/>
      <c r="P46" s="30"/>
      <c r="Q46" s="60"/>
      <c r="R46" s="63"/>
      <c r="S46" s="50"/>
      <c r="T46" s="50"/>
      <c r="U46" s="50"/>
      <c r="V46" s="50"/>
      <c r="W46" s="50"/>
      <c r="X46" s="50"/>
      <c r="Y46" s="50"/>
      <c r="Z46" s="50"/>
    </row>
    <row r="47" spans="1:26" ht="15.75" customHeight="1">
      <c r="A47" s="4"/>
      <c r="B47" s="5"/>
      <c r="C47" s="5"/>
      <c r="D47" s="6"/>
      <c r="E47" s="52"/>
      <c r="F47" s="52"/>
      <c r="G47" s="52"/>
      <c r="H47" s="53"/>
      <c r="I47" s="63"/>
      <c r="J47" s="63"/>
      <c r="K47" s="63"/>
      <c r="L47" s="63"/>
      <c r="M47" s="63"/>
      <c r="N47" s="54"/>
      <c r="O47" s="51"/>
      <c r="P47" s="58"/>
      <c r="Q47" s="63"/>
      <c r="R47" s="63"/>
      <c r="S47" s="50"/>
      <c r="T47" s="50"/>
      <c r="U47" s="50"/>
      <c r="V47" s="50"/>
      <c r="W47" s="50"/>
      <c r="X47" s="50"/>
      <c r="Y47" s="50"/>
      <c r="Z47" s="50"/>
    </row>
    <row r="48" spans="1:26" ht="15.75" customHeight="1">
      <c r="A48" s="4"/>
      <c r="B48" s="5"/>
      <c r="C48" s="5"/>
      <c r="D48" s="6"/>
      <c r="E48" s="52"/>
      <c r="F48" s="52"/>
      <c r="G48" s="52"/>
      <c r="H48" s="53"/>
      <c r="I48" s="59"/>
      <c r="J48" s="60"/>
      <c r="K48" s="60"/>
      <c r="L48" s="60"/>
      <c r="M48" s="62"/>
      <c r="N48" s="54"/>
      <c r="O48" s="51"/>
      <c r="P48" s="30"/>
      <c r="Q48" s="60"/>
      <c r="R48" s="63"/>
      <c r="S48" s="50"/>
      <c r="T48" s="50"/>
      <c r="U48" s="50"/>
      <c r="V48" s="50"/>
      <c r="W48" s="50"/>
      <c r="X48" s="50"/>
      <c r="Y48" s="50"/>
      <c r="Z48" s="50"/>
    </row>
    <row r="49" spans="1:26" ht="15.75" customHeight="1">
      <c r="A49" s="4"/>
      <c r="B49" s="5"/>
      <c r="C49" s="5"/>
      <c r="D49" s="6"/>
      <c r="E49" s="52"/>
      <c r="F49" s="52"/>
      <c r="G49" s="52"/>
      <c r="H49" s="53"/>
      <c r="I49" s="63"/>
      <c r="J49" s="63"/>
      <c r="K49" s="63"/>
      <c r="L49" s="63"/>
      <c r="M49" s="63"/>
      <c r="N49" s="54"/>
      <c r="O49" s="51"/>
      <c r="P49" s="58"/>
      <c r="Q49" s="63"/>
      <c r="R49" s="63"/>
      <c r="S49" s="50"/>
      <c r="T49" s="50"/>
      <c r="U49" s="50"/>
      <c r="V49" s="50"/>
      <c r="W49" s="50"/>
      <c r="X49" s="50"/>
      <c r="Y49" s="50"/>
      <c r="Z49" s="50"/>
    </row>
    <row r="50" spans="1:26" ht="15.75" customHeight="1">
      <c r="A50" s="4"/>
      <c r="B50" s="5"/>
      <c r="C50" s="5"/>
      <c r="D50" s="6"/>
      <c r="E50" s="52"/>
      <c r="F50" s="52"/>
      <c r="G50" s="52"/>
      <c r="H50" s="53"/>
      <c r="I50" s="59"/>
      <c r="J50" s="60"/>
      <c r="K50" s="60"/>
      <c r="L50" s="60"/>
      <c r="M50" s="62"/>
      <c r="N50" s="54"/>
      <c r="O50" s="51"/>
      <c r="P50" s="30"/>
      <c r="Q50" s="60"/>
      <c r="R50" s="63"/>
      <c r="S50" s="50"/>
      <c r="T50" s="50"/>
      <c r="U50" s="50"/>
      <c r="V50" s="50"/>
      <c r="W50" s="50"/>
      <c r="X50" s="50"/>
      <c r="Y50" s="50"/>
      <c r="Z50" s="50"/>
    </row>
    <row r="51" spans="1:26" ht="15.75" customHeight="1">
      <c r="A51" s="4"/>
      <c r="B51" s="5"/>
      <c r="C51" s="5"/>
      <c r="D51" s="6"/>
      <c r="E51" s="52"/>
      <c r="F51" s="52"/>
      <c r="G51" s="52"/>
      <c r="H51" s="53"/>
      <c r="I51" s="63"/>
      <c r="J51" s="63"/>
      <c r="K51" s="63"/>
      <c r="L51" s="63"/>
      <c r="M51" s="63"/>
      <c r="N51" s="54"/>
      <c r="O51" s="51"/>
      <c r="P51" s="63"/>
      <c r="Q51" s="63"/>
      <c r="R51" s="63"/>
      <c r="S51" s="50"/>
      <c r="T51" s="50"/>
      <c r="U51" s="50"/>
      <c r="V51" s="50"/>
      <c r="W51" s="50"/>
      <c r="X51" s="50"/>
      <c r="Y51" s="50"/>
      <c r="Z51" s="50"/>
    </row>
    <row r="52" spans="1:26" ht="15.75" customHeight="1">
      <c r="A52" s="4"/>
      <c r="B52" s="5"/>
      <c r="C52" s="5"/>
      <c r="D52" s="6"/>
      <c r="E52" s="52"/>
      <c r="F52" s="52"/>
      <c r="G52" s="52"/>
      <c r="H52" s="53"/>
      <c r="I52" s="63"/>
      <c r="J52" s="63"/>
      <c r="K52" s="63"/>
      <c r="L52" s="63"/>
      <c r="M52" s="63"/>
      <c r="N52" s="54"/>
      <c r="O52" s="51"/>
      <c r="P52" s="63"/>
      <c r="Q52" s="63"/>
      <c r="R52" s="63"/>
      <c r="S52" s="50"/>
      <c r="T52" s="50"/>
      <c r="U52" s="50"/>
      <c r="V52" s="50"/>
      <c r="W52" s="50"/>
      <c r="X52" s="50"/>
      <c r="Y52" s="50"/>
      <c r="Z52" s="50"/>
    </row>
    <row r="53" spans="1:26" ht="15.75" customHeight="1">
      <c r="A53" s="4"/>
      <c r="B53" s="5"/>
      <c r="C53" s="5"/>
      <c r="D53" s="6"/>
      <c r="E53" s="52"/>
      <c r="F53" s="52"/>
      <c r="G53" s="52"/>
      <c r="H53" s="53"/>
      <c r="I53" s="63"/>
      <c r="J53" s="63"/>
      <c r="K53" s="63"/>
      <c r="L53" s="63"/>
      <c r="M53" s="63"/>
      <c r="N53" s="54"/>
      <c r="O53" s="51"/>
      <c r="P53" s="63"/>
      <c r="Q53" s="63"/>
      <c r="R53" s="63"/>
      <c r="S53" s="50"/>
      <c r="T53" s="50"/>
      <c r="U53" s="50"/>
      <c r="V53" s="50"/>
      <c r="W53" s="50"/>
      <c r="X53" s="50"/>
      <c r="Y53" s="50"/>
      <c r="Z53" s="50"/>
    </row>
    <row r="54" spans="1:26" ht="15.75" customHeight="1">
      <c r="A54" s="4"/>
      <c r="B54" s="5"/>
      <c r="C54" s="5"/>
      <c r="D54" s="6"/>
      <c r="E54" s="52"/>
      <c r="F54" s="52"/>
      <c r="G54" s="52"/>
      <c r="H54" s="53"/>
      <c r="I54" s="59"/>
      <c r="J54" s="60"/>
      <c r="K54" s="60"/>
      <c r="L54" s="60"/>
      <c r="M54" s="62"/>
      <c r="N54" s="54"/>
      <c r="O54" s="51"/>
      <c r="P54" s="30"/>
      <c r="Q54" s="60"/>
      <c r="R54" s="64"/>
      <c r="S54" s="50"/>
      <c r="T54" s="50"/>
      <c r="U54" s="50"/>
      <c r="V54" s="50"/>
      <c r="W54" s="50"/>
      <c r="X54" s="50"/>
      <c r="Y54" s="50"/>
      <c r="Z54" s="50"/>
    </row>
    <row r="55" spans="1:26" ht="15.75" customHeight="1">
      <c r="A55" s="4"/>
      <c r="B55" s="5"/>
      <c r="C55" s="5"/>
      <c r="D55" s="6"/>
      <c r="E55" s="52"/>
      <c r="F55" s="52"/>
      <c r="G55" s="52"/>
      <c r="H55" s="53"/>
      <c r="I55" s="63"/>
      <c r="J55" s="63"/>
      <c r="K55" s="63"/>
      <c r="L55" s="63"/>
      <c r="M55" s="63"/>
      <c r="N55" s="54"/>
      <c r="O55" s="51"/>
      <c r="P55" s="63"/>
      <c r="Q55" s="63"/>
      <c r="R55" s="63"/>
      <c r="S55" s="50"/>
      <c r="T55" s="50"/>
      <c r="U55" s="50"/>
      <c r="V55" s="50"/>
      <c r="W55" s="50"/>
      <c r="X55" s="50"/>
      <c r="Y55" s="50"/>
      <c r="Z55" s="50"/>
    </row>
    <row r="56" spans="1:26" ht="15.75" customHeight="1">
      <c r="A56" s="4"/>
      <c r="B56" s="5"/>
      <c r="C56" s="5"/>
      <c r="D56" s="6"/>
      <c r="E56" s="52"/>
      <c r="F56" s="52"/>
      <c r="G56" s="52"/>
      <c r="H56" s="53"/>
      <c r="I56" s="59"/>
      <c r="J56" s="60"/>
      <c r="K56" s="60"/>
      <c r="L56" s="60"/>
      <c r="M56" s="62"/>
      <c r="N56" s="54"/>
      <c r="O56" s="51"/>
      <c r="P56" s="30"/>
      <c r="Q56" s="60"/>
      <c r="R56" s="63"/>
      <c r="S56" s="50"/>
      <c r="T56" s="50"/>
      <c r="U56" s="50"/>
      <c r="V56" s="50"/>
      <c r="W56" s="50"/>
      <c r="X56" s="50"/>
      <c r="Y56" s="50"/>
      <c r="Z56" s="50"/>
    </row>
    <row r="57" spans="1:26" ht="15.75" customHeight="1">
      <c r="A57" s="4"/>
      <c r="B57" s="5"/>
      <c r="C57" s="5"/>
      <c r="D57" s="6"/>
      <c r="E57" s="52"/>
      <c r="F57" s="52"/>
      <c r="G57" s="52"/>
      <c r="H57" s="53"/>
      <c r="I57" s="63"/>
      <c r="J57" s="63"/>
      <c r="K57" s="63"/>
      <c r="L57" s="63"/>
      <c r="M57" s="63"/>
      <c r="N57" s="54"/>
      <c r="O57" s="51"/>
      <c r="P57" s="63"/>
      <c r="Q57" s="63"/>
      <c r="R57" s="63"/>
      <c r="S57" s="50"/>
      <c r="T57" s="50"/>
      <c r="U57" s="50"/>
      <c r="V57" s="50"/>
      <c r="W57" s="50"/>
      <c r="X57" s="50"/>
      <c r="Y57" s="50"/>
      <c r="Z57" s="50"/>
    </row>
    <row r="58" spans="1:26" ht="15.75" customHeight="1">
      <c r="A58" s="4"/>
      <c r="B58" s="5"/>
      <c r="C58" s="5"/>
      <c r="D58" s="6"/>
      <c r="E58" s="52"/>
      <c r="F58" s="52"/>
      <c r="G58" s="52"/>
      <c r="H58" s="53"/>
      <c r="I58" s="59"/>
      <c r="J58" s="60"/>
      <c r="K58" s="60"/>
      <c r="L58" s="60"/>
      <c r="M58" s="62"/>
      <c r="N58" s="54"/>
      <c r="O58" s="51"/>
      <c r="P58" s="30"/>
      <c r="Q58" s="60"/>
      <c r="R58" s="63"/>
      <c r="S58" s="50"/>
      <c r="T58" s="50"/>
      <c r="U58" s="50"/>
      <c r="V58" s="50"/>
      <c r="W58" s="50"/>
      <c r="X58" s="50"/>
      <c r="Y58" s="50"/>
      <c r="Z58" s="50"/>
    </row>
    <row r="59" spans="1:26" ht="15.75" customHeight="1">
      <c r="A59" s="4"/>
      <c r="B59" s="5"/>
      <c r="C59" s="5"/>
      <c r="D59" s="6"/>
      <c r="E59" s="52"/>
      <c r="F59" s="52"/>
      <c r="G59" s="52"/>
      <c r="H59" s="53"/>
      <c r="I59" s="63"/>
      <c r="J59" s="63"/>
      <c r="K59" s="63"/>
      <c r="L59" s="63"/>
      <c r="M59" s="63"/>
      <c r="N59" s="54"/>
      <c r="O59" s="51"/>
      <c r="P59" s="63"/>
      <c r="Q59" s="63"/>
      <c r="R59" s="63"/>
      <c r="S59" s="50"/>
      <c r="T59" s="50"/>
      <c r="U59" s="50"/>
      <c r="V59" s="50"/>
      <c r="W59" s="50"/>
      <c r="X59" s="50"/>
      <c r="Y59" s="50"/>
      <c r="Z59" s="50"/>
    </row>
    <row r="60" spans="1:26" ht="15.75" customHeight="1">
      <c r="A60" s="4"/>
      <c r="B60" s="5"/>
      <c r="C60" s="5"/>
      <c r="D60" s="6"/>
      <c r="E60" s="52"/>
      <c r="F60" s="52"/>
      <c r="G60" s="52"/>
      <c r="H60" s="53"/>
      <c r="I60" s="59"/>
      <c r="J60" s="60"/>
      <c r="K60" s="60"/>
      <c r="L60" s="60"/>
      <c r="M60" s="62"/>
      <c r="N60" s="54"/>
      <c r="O60" s="51"/>
      <c r="P60" s="30"/>
      <c r="Q60" s="60"/>
      <c r="R60" s="63"/>
      <c r="S60" s="50"/>
      <c r="T60" s="50"/>
      <c r="U60" s="50"/>
      <c r="V60" s="50"/>
      <c r="W60" s="50"/>
      <c r="X60" s="50"/>
      <c r="Y60" s="50"/>
      <c r="Z60" s="50"/>
    </row>
    <row r="61" spans="1:26" ht="15.75" customHeight="1">
      <c r="A61" s="4"/>
      <c r="B61" s="5"/>
      <c r="C61" s="5"/>
      <c r="D61" s="6"/>
      <c r="E61" s="52"/>
      <c r="F61" s="52"/>
      <c r="G61" s="52"/>
      <c r="H61" s="53"/>
      <c r="I61" s="51"/>
      <c r="J61" s="63"/>
      <c r="K61" s="63"/>
      <c r="L61" s="63"/>
      <c r="M61" s="63"/>
      <c r="N61" s="54"/>
      <c r="O61" s="51"/>
      <c r="P61" s="63"/>
      <c r="Q61" s="63"/>
      <c r="R61" s="63"/>
      <c r="S61" s="50"/>
      <c r="T61" s="50"/>
      <c r="U61" s="50"/>
      <c r="V61" s="50"/>
      <c r="W61" s="50"/>
      <c r="X61" s="50"/>
      <c r="Y61" s="50"/>
      <c r="Z61" s="50"/>
    </row>
    <row r="62" spans="1:26" ht="15.75" customHeight="1">
      <c r="A62" s="4"/>
      <c r="B62" s="5"/>
      <c r="C62" s="5"/>
      <c r="D62" s="6"/>
      <c r="E62" s="42"/>
      <c r="F62" s="52"/>
      <c r="G62" s="52"/>
      <c r="H62" s="53"/>
      <c r="I62" s="54"/>
      <c r="J62" s="63"/>
      <c r="K62" s="63"/>
      <c r="L62" s="63"/>
      <c r="M62" s="63"/>
      <c r="N62" s="54"/>
      <c r="O62" s="51"/>
      <c r="P62" s="63"/>
      <c r="Q62" s="63"/>
      <c r="R62" s="63"/>
      <c r="S62" s="50"/>
      <c r="T62" s="50"/>
      <c r="U62" s="50"/>
      <c r="V62" s="50"/>
      <c r="W62" s="50"/>
      <c r="X62" s="50"/>
      <c r="Y62" s="50"/>
      <c r="Z62" s="50"/>
    </row>
    <row r="63" spans="1:26" ht="15.75" customHeight="1">
      <c r="A63" s="4"/>
      <c r="B63" s="5"/>
      <c r="C63" s="5"/>
      <c r="D63" s="6"/>
      <c r="E63" s="43"/>
      <c r="F63" s="52"/>
      <c r="G63" s="52"/>
      <c r="H63" s="53"/>
      <c r="I63" s="63"/>
      <c r="J63" s="63"/>
      <c r="K63" s="63"/>
      <c r="L63" s="63"/>
      <c r="M63" s="63"/>
      <c r="N63" s="54"/>
      <c r="O63" s="51"/>
      <c r="P63" s="63"/>
      <c r="Q63" s="54"/>
      <c r="R63" s="54"/>
      <c r="S63" s="50"/>
      <c r="T63" s="50"/>
      <c r="U63" s="50"/>
      <c r="V63" s="50"/>
      <c r="W63" s="50"/>
      <c r="X63" s="50"/>
      <c r="Y63" s="50"/>
      <c r="Z63" s="50"/>
    </row>
    <row r="64" spans="1:26" ht="15.75" customHeight="1">
      <c r="A64" s="4"/>
      <c r="B64" s="5"/>
      <c r="C64" s="5"/>
      <c r="D64" s="6"/>
      <c r="E64" s="43"/>
      <c r="F64" s="52"/>
      <c r="G64" s="52"/>
      <c r="H64" s="53"/>
      <c r="I64" s="63"/>
      <c r="J64" s="63"/>
      <c r="K64" s="63"/>
      <c r="L64" s="63"/>
      <c r="M64" s="63"/>
      <c r="N64" s="54"/>
      <c r="O64" s="51"/>
      <c r="P64" s="63"/>
      <c r="Q64" s="58"/>
      <c r="R64" s="64"/>
      <c r="S64" s="50"/>
      <c r="T64" s="50"/>
      <c r="U64" s="50"/>
      <c r="V64" s="50"/>
      <c r="W64" s="50"/>
      <c r="X64" s="50"/>
      <c r="Y64" s="50"/>
      <c r="Z64" s="50"/>
    </row>
    <row r="65" spans="1:26" ht="15.75" customHeight="1">
      <c r="A65" s="4"/>
      <c r="B65" s="5"/>
      <c r="C65" s="5"/>
      <c r="D65" s="6"/>
      <c r="E65" s="43"/>
      <c r="F65" s="52"/>
      <c r="G65" s="52"/>
      <c r="H65" s="53"/>
      <c r="I65" s="63"/>
      <c r="J65" s="63"/>
      <c r="K65" s="63"/>
      <c r="L65" s="63"/>
      <c r="M65" s="63"/>
      <c r="N65" s="54"/>
      <c r="O65" s="51"/>
      <c r="P65" s="63"/>
      <c r="Q65" s="63"/>
      <c r="R65" s="63"/>
      <c r="S65" s="50"/>
      <c r="T65" s="50"/>
      <c r="U65" s="50"/>
      <c r="V65" s="50"/>
      <c r="W65" s="50"/>
      <c r="X65" s="50"/>
      <c r="Y65" s="50"/>
      <c r="Z65" s="50"/>
    </row>
    <row r="66" spans="1:26" ht="15.75" customHeight="1">
      <c r="A66" s="4"/>
      <c r="B66" s="5"/>
      <c r="C66" s="5"/>
      <c r="D66" s="6"/>
      <c r="E66" s="43"/>
      <c r="F66" s="52"/>
      <c r="G66" s="52"/>
      <c r="H66" s="53"/>
      <c r="I66" s="63"/>
      <c r="J66" s="63"/>
      <c r="K66" s="63"/>
      <c r="L66" s="63"/>
      <c r="M66" s="63"/>
      <c r="N66" s="54"/>
      <c r="O66" s="51"/>
      <c r="P66" s="63"/>
      <c r="Q66" s="63"/>
      <c r="R66" s="63"/>
      <c r="S66" s="50"/>
      <c r="T66" s="50"/>
      <c r="U66" s="50"/>
      <c r="V66" s="50"/>
      <c r="W66" s="50"/>
      <c r="X66" s="50"/>
      <c r="Y66" s="50"/>
      <c r="Z66" s="50"/>
    </row>
    <row r="67" spans="1:26" ht="15.75" customHeight="1">
      <c r="A67" s="4"/>
      <c r="B67" s="5"/>
      <c r="C67" s="5"/>
      <c r="D67" s="6"/>
      <c r="E67" s="43"/>
      <c r="F67" s="52"/>
      <c r="G67" s="52"/>
      <c r="H67" s="53"/>
      <c r="I67" s="63"/>
      <c r="J67" s="63"/>
      <c r="K67" s="63"/>
      <c r="L67" s="63"/>
      <c r="M67" s="63"/>
      <c r="N67" s="54"/>
      <c r="O67" s="51"/>
      <c r="P67" s="63"/>
      <c r="Q67" s="63"/>
      <c r="R67" s="63"/>
      <c r="S67" s="50"/>
      <c r="T67" s="50"/>
      <c r="U67" s="50"/>
      <c r="V67" s="50"/>
      <c r="W67" s="50"/>
      <c r="X67" s="50"/>
      <c r="Y67" s="50"/>
      <c r="Z67" s="50"/>
    </row>
    <row r="68" spans="1:26" ht="15.75" customHeight="1">
      <c r="A68" s="4"/>
      <c r="B68" s="5"/>
      <c r="C68" s="5"/>
      <c r="D68" s="6"/>
      <c r="E68" s="43"/>
      <c r="F68" s="52"/>
      <c r="G68" s="52"/>
      <c r="H68" s="53"/>
      <c r="I68" s="63"/>
      <c r="J68" s="63"/>
      <c r="K68" s="63"/>
      <c r="L68" s="63"/>
      <c r="M68" s="63"/>
      <c r="N68" s="54"/>
      <c r="O68" s="51"/>
      <c r="P68" s="63"/>
      <c r="Q68" s="63"/>
      <c r="R68" s="63"/>
      <c r="S68" s="50"/>
      <c r="T68" s="50"/>
      <c r="U68" s="50"/>
      <c r="V68" s="50"/>
      <c r="W68" s="50"/>
      <c r="X68" s="50"/>
      <c r="Y68" s="50"/>
      <c r="Z68" s="50"/>
    </row>
    <row r="69" spans="1:26" ht="15.75" customHeight="1">
      <c r="A69" s="4"/>
      <c r="B69" s="5"/>
      <c r="C69" s="5"/>
      <c r="D69" s="6"/>
      <c r="E69" s="43"/>
      <c r="F69" s="52"/>
      <c r="G69" s="52"/>
      <c r="H69" s="53"/>
      <c r="I69" s="63"/>
      <c r="J69" s="63"/>
      <c r="K69" s="63"/>
      <c r="L69" s="63"/>
      <c r="M69" s="63"/>
      <c r="N69" s="54"/>
      <c r="O69" s="51"/>
      <c r="P69" s="63"/>
      <c r="Q69" s="63"/>
      <c r="R69" s="63"/>
      <c r="S69" s="50"/>
      <c r="T69" s="50"/>
      <c r="U69" s="50"/>
      <c r="V69" s="50"/>
      <c r="W69" s="50"/>
      <c r="X69" s="50"/>
      <c r="Y69" s="50"/>
      <c r="Z69" s="50"/>
    </row>
    <row r="70" spans="1:26" ht="15.75" customHeight="1">
      <c r="A70" s="4"/>
      <c r="B70" s="5"/>
      <c r="C70" s="5"/>
      <c r="D70" s="6"/>
      <c r="E70" s="7"/>
      <c r="F70" s="7"/>
      <c r="G70" s="7"/>
      <c r="H70" s="4"/>
      <c r="I70" s="51"/>
      <c r="J70" s="51"/>
      <c r="K70" s="51"/>
      <c r="L70" s="51"/>
      <c r="M70" s="51"/>
      <c r="N70" s="51"/>
      <c r="O70" s="51"/>
      <c r="P70" s="63"/>
      <c r="Q70" s="63"/>
      <c r="R70" s="63"/>
      <c r="S70" s="50"/>
      <c r="T70" s="50"/>
      <c r="U70" s="50"/>
      <c r="V70" s="50"/>
      <c r="W70" s="50"/>
      <c r="X70" s="50"/>
      <c r="Y70" s="50"/>
      <c r="Z70" s="50"/>
    </row>
    <row r="71" spans="1:26" ht="15.75" customHeight="1">
      <c r="A71" s="4"/>
      <c r="B71" s="5"/>
      <c r="C71" s="5"/>
      <c r="D71" s="6"/>
      <c r="E71" s="7"/>
      <c r="F71" s="7"/>
      <c r="G71" s="7"/>
      <c r="H71" s="4"/>
      <c r="I71" s="51"/>
      <c r="J71" s="51"/>
      <c r="K71" s="51"/>
      <c r="L71" s="51"/>
      <c r="M71" s="51"/>
      <c r="N71" s="51"/>
      <c r="O71" s="51"/>
      <c r="P71" s="63"/>
      <c r="Q71" s="63"/>
      <c r="R71" s="63"/>
      <c r="S71" s="50"/>
      <c r="T71" s="50"/>
      <c r="U71" s="50"/>
      <c r="V71" s="50"/>
      <c r="W71" s="50"/>
      <c r="X71" s="50"/>
      <c r="Y71" s="50"/>
      <c r="Z71" s="50"/>
    </row>
    <row r="72" spans="1:26" ht="15.75" customHeight="1">
      <c r="A72" s="4"/>
      <c r="B72" s="5"/>
      <c r="C72" s="5"/>
      <c r="D72" s="6"/>
      <c r="E72" s="7"/>
      <c r="F72" s="7"/>
      <c r="G72" s="7"/>
      <c r="H72" s="4"/>
      <c r="I72" s="51"/>
      <c r="J72" s="51"/>
      <c r="K72" s="51"/>
      <c r="L72" s="51"/>
      <c r="M72" s="51"/>
      <c r="N72" s="51"/>
      <c r="O72" s="51"/>
      <c r="P72" s="63"/>
      <c r="Q72" s="63"/>
      <c r="R72" s="63"/>
      <c r="S72" s="50"/>
      <c r="T72" s="50"/>
      <c r="U72" s="50"/>
      <c r="V72" s="50"/>
      <c r="W72" s="50"/>
      <c r="X72" s="50"/>
      <c r="Y72" s="50"/>
      <c r="Z72" s="50"/>
    </row>
    <row r="73" spans="1:26" ht="15.75" customHeight="1">
      <c r="A73" s="4"/>
      <c r="B73" s="5"/>
      <c r="C73" s="5"/>
      <c r="D73" s="6"/>
      <c r="E73" s="7"/>
      <c r="F73" s="7"/>
      <c r="G73" s="7"/>
      <c r="H73" s="4"/>
      <c r="I73" s="51"/>
      <c r="J73" s="51"/>
      <c r="K73" s="51"/>
      <c r="L73" s="51"/>
      <c r="M73" s="51"/>
      <c r="N73" s="51"/>
      <c r="O73" s="51"/>
      <c r="P73" s="51"/>
      <c r="Q73" s="51"/>
      <c r="R73" s="51"/>
      <c r="S73" s="50"/>
      <c r="T73" s="50"/>
      <c r="U73" s="50"/>
      <c r="V73" s="50"/>
      <c r="W73" s="50"/>
      <c r="X73" s="50"/>
      <c r="Y73" s="50"/>
      <c r="Z73" s="50"/>
    </row>
    <row r="74" spans="1:26" ht="15.75" customHeight="1">
      <c r="A74" s="4"/>
      <c r="B74" s="5"/>
      <c r="C74" s="5"/>
      <c r="D74" s="6"/>
      <c r="E74" s="7"/>
      <c r="F74" s="7"/>
      <c r="G74" s="7"/>
      <c r="H74" s="4"/>
      <c r="I74" s="51"/>
      <c r="J74" s="51"/>
      <c r="K74" s="51"/>
      <c r="L74" s="51"/>
      <c r="M74" s="51"/>
      <c r="N74" s="51"/>
      <c r="O74" s="51"/>
      <c r="P74" s="51"/>
      <c r="Q74" s="51"/>
      <c r="R74" s="51"/>
      <c r="S74" s="50"/>
      <c r="T74" s="50"/>
      <c r="U74" s="50"/>
      <c r="V74" s="50"/>
      <c r="W74" s="50"/>
      <c r="X74" s="50"/>
      <c r="Y74" s="50"/>
      <c r="Z74" s="50"/>
    </row>
    <row r="75" spans="1:26" ht="15.75" customHeight="1">
      <c r="A75" s="4"/>
      <c r="B75" s="5"/>
      <c r="C75" s="5"/>
      <c r="D75" s="6"/>
      <c r="E75" s="7"/>
      <c r="F75" s="7"/>
      <c r="G75" s="7"/>
      <c r="H75" s="4"/>
      <c r="I75" s="51"/>
      <c r="J75" s="51"/>
      <c r="K75" s="51"/>
      <c r="L75" s="51"/>
      <c r="M75" s="51"/>
      <c r="N75" s="51"/>
      <c r="O75" s="51"/>
      <c r="P75" s="51"/>
      <c r="Q75" s="51"/>
      <c r="R75" s="51"/>
      <c r="S75" s="50"/>
      <c r="T75" s="50"/>
      <c r="U75" s="50"/>
      <c r="V75" s="50"/>
      <c r="W75" s="50"/>
      <c r="X75" s="50"/>
      <c r="Y75" s="50"/>
      <c r="Z75" s="50"/>
    </row>
    <row r="76" spans="1:26" ht="15.75" customHeight="1">
      <c r="A76" s="50"/>
      <c r="B76" s="50"/>
      <c r="C76" s="50"/>
      <c r="D76" s="50"/>
      <c r="E76" s="50"/>
      <c r="F76" s="50"/>
      <c r="G76" s="50"/>
      <c r="H76" s="50"/>
      <c r="I76" s="50"/>
      <c r="J76" s="50"/>
      <c r="K76" s="50"/>
      <c r="L76" s="50"/>
      <c r="M76" s="50"/>
      <c r="N76" s="50"/>
      <c r="O76" s="50"/>
      <c r="P76" s="50"/>
      <c r="Q76" s="50"/>
      <c r="R76" s="50"/>
      <c r="S76" s="50"/>
      <c r="T76" s="50"/>
      <c r="U76" s="50"/>
      <c r="V76" s="50"/>
      <c r="W76" s="50"/>
      <c r="X76" s="50"/>
      <c r="Y76" s="50"/>
      <c r="Z76" s="50"/>
    </row>
    <row r="77" spans="1:26" ht="15.75" customHeight="1">
      <c r="A77" s="50"/>
      <c r="B77" s="50"/>
      <c r="C77" s="50"/>
      <c r="D77" s="50"/>
      <c r="E77" s="50"/>
      <c r="F77" s="50"/>
      <c r="G77" s="50"/>
      <c r="H77" s="50"/>
      <c r="I77" s="50"/>
      <c r="J77" s="50"/>
      <c r="K77" s="50"/>
      <c r="L77" s="50"/>
      <c r="M77" s="50"/>
      <c r="N77" s="50"/>
      <c r="O77" s="50"/>
      <c r="P77" s="50"/>
      <c r="Q77" s="50"/>
      <c r="R77" s="50"/>
      <c r="S77" s="50"/>
      <c r="T77" s="50"/>
      <c r="U77" s="50"/>
      <c r="V77" s="50"/>
      <c r="W77" s="50"/>
      <c r="X77" s="50"/>
      <c r="Y77" s="50"/>
      <c r="Z77" s="50"/>
    </row>
    <row r="78" spans="1:26" ht="15.75" customHeight="1">
      <c r="A78" s="50"/>
      <c r="B78" s="50"/>
      <c r="C78" s="50"/>
      <c r="D78" s="50"/>
      <c r="E78" s="50"/>
      <c r="F78" s="50"/>
      <c r="G78" s="50"/>
      <c r="H78" s="50"/>
      <c r="I78" s="50"/>
      <c r="J78" s="50"/>
      <c r="K78" s="50"/>
      <c r="L78" s="50"/>
      <c r="M78" s="50"/>
      <c r="N78" s="50"/>
      <c r="O78" s="50"/>
      <c r="P78" s="50"/>
      <c r="Q78" s="50"/>
      <c r="R78" s="50"/>
      <c r="S78" s="50"/>
      <c r="T78" s="50"/>
      <c r="U78" s="50"/>
      <c r="V78" s="50"/>
      <c r="W78" s="50"/>
      <c r="X78" s="50"/>
      <c r="Y78" s="50"/>
      <c r="Z78" s="50"/>
    </row>
    <row r="79" spans="1:26" ht="15.75" customHeight="1">
      <c r="A79" s="50"/>
      <c r="B79" s="50"/>
      <c r="C79" s="50"/>
      <c r="D79" s="50"/>
      <c r="E79" s="50"/>
      <c r="F79" s="50"/>
      <c r="G79" s="50"/>
      <c r="H79" s="50"/>
      <c r="I79" s="50"/>
      <c r="J79" s="50"/>
      <c r="K79" s="50"/>
      <c r="L79" s="50"/>
      <c r="M79" s="50"/>
      <c r="N79" s="50"/>
      <c r="O79" s="50"/>
      <c r="P79" s="50"/>
      <c r="Q79" s="50"/>
      <c r="R79" s="50"/>
      <c r="S79" s="50"/>
      <c r="T79" s="50"/>
      <c r="U79" s="50"/>
      <c r="V79" s="50"/>
      <c r="W79" s="50"/>
      <c r="X79" s="50"/>
      <c r="Y79" s="50"/>
      <c r="Z79" s="50"/>
    </row>
    <row r="80" spans="1:26" ht="15.75" customHeight="1">
      <c r="A80" s="50"/>
      <c r="B80" s="50"/>
      <c r="C80" s="50"/>
      <c r="D80" s="50"/>
      <c r="E80" s="50"/>
      <c r="F80" s="50"/>
      <c r="G80" s="50"/>
      <c r="H80" s="50"/>
      <c r="I80" s="50"/>
      <c r="J80" s="50"/>
      <c r="K80" s="50"/>
      <c r="L80" s="50"/>
      <c r="M80" s="50"/>
      <c r="N80" s="50"/>
      <c r="O80" s="50"/>
      <c r="P80" s="50"/>
      <c r="Q80" s="50"/>
      <c r="R80" s="50"/>
      <c r="S80" s="50"/>
      <c r="T80" s="50"/>
      <c r="U80" s="50"/>
      <c r="V80" s="50"/>
      <c r="W80" s="50"/>
      <c r="X80" s="50"/>
      <c r="Y80" s="50"/>
      <c r="Z80" s="50"/>
    </row>
    <row r="81" spans="1:26" ht="15.75" customHeight="1">
      <c r="A81" s="50"/>
      <c r="B81" s="50"/>
      <c r="C81" s="50"/>
      <c r="D81" s="50"/>
      <c r="E81" s="50"/>
      <c r="F81" s="50"/>
      <c r="G81" s="50"/>
      <c r="H81" s="50"/>
      <c r="I81" s="50"/>
      <c r="J81" s="50"/>
      <c r="K81" s="50"/>
      <c r="L81" s="50"/>
      <c r="M81" s="50"/>
      <c r="N81" s="50"/>
      <c r="O81" s="50"/>
      <c r="P81" s="50"/>
      <c r="Q81" s="50"/>
      <c r="R81" s="50"/>
      <c r="S81" s="50"/>
      <c r="T81" s="50"/>
      <c r="U81" s="50"/>
      <c r="V81" s="50"/>
      <c r="W81" s="50"/>
      <c r="X81" s="50"/>
      <c r="Y81" s="50"/>
      <c r="Z81" s="50"/>
    </row>
    <row r="82" spans="1:26" ht="15.75" customHeight="1">
      <c r="A82" s="50"/>
      <c r="B82" s="50"/>
      <c r="C82" s="50"/>
      <c r="D82" s="50"/>
      <c r="E82" s="50"/>
      <c r="F82" s="50"/>
      <c r="G82" s="50"/>
      <c r="H82" s="50"/>
      <c r="I82" s="50"/>
      <c r="J82" s="50"/>
      <c r="K82" s="50"/>
      <c r="L82" s="50"/>
      <c r="M82" s="50"/>
      <c r="N82" s="50"/>
      <c r="O82" s="50"/>
      <c r="P82" s="50"/>
      <c r="Q82" s="50"/>
      <c r="R82" s="50"/>
      <c r="S82" s="50"/>
      <c r="T82" s="50"/>
      <c r="U82" s="50"/>
      <c r="V82" s="50"/>
      <c r="W82" s="50"/>
      <c r="X82" s="50"/>
      <c r="Y82" s="50"/>
      <c r="Z82" s="50"/>
    </row>
    <row r="83" spans="1:26" ht="15.75" customHeight="1">
      <c r="A83" s="50"/>
      <c r="B83" s="50"/>
      <c r="C83" s="50"/>
      <c r="D83" s="50"/>
      <c r="E83" s="50"/>
      <c r="F83" s="50"/>
      <c r="G83" s="50"/>
      <c r="H83" s="50"/>
      <c r="I83" s="50"/>
      <c r="J83" s="50"/>
      <c r="K83" s="50"/>
      <c r="L83" s="50"/>
      <c r="M83" s="50"/>
      <c r="N83" s="50"/>
      <c r="O83" s="50"/>
      <c r="P83" s="50"/>
      <c r="Q83" s="50"/>
      <c r="R83" s="50"/>
      <c r="S83" s="50"/>
      <c r="T83" s="50"/>
      <c r="U83" s="50"/>
      <c r="V83" s="50"/>
      <c r="W83" s="50"/>
      <c r="X83" s="50"/>
      <c r="Y83" s="50"/>
      <c r="Z83" s="50"/>
    </row>
    <row r="84" spans="1:26" ht="15.75" customHeight="1">
      <c r="A84" s="50"/>
      <c r="B84" s="50"/>
      <c r="C84" s="50"/>
      <c r="D84" s="50"/>
      <c r="E84" s="50"/>
      <c r="F84" s="50"/>
      <c r="G84" s="50"/>
      <c r="H84" s="50"/>
      <c r="I84" s="50"/>
      <c r="J84" s="50"/>
      <c r="K84" s="50"/>
      <c r="L84" s="50"/>
      <c r="M84" s="50"/>
      <c r="N84" s="50"/>
      <c r="O84" s="50"/>
      <c r="P84" s="50"/>
      <c r="Q84" s="50"/>
      <c r="R84" s="50"/>
      <c r="S84" s="50"/>
      <c r="T84" s="50"/>
      <c r="U84" s="50"/>
      <c r="V84" s="50"/>
      <c r="W84" s="50"/>
      <c r="X84" s="50"/>
      <c r="Y84" s="50"/>
      <c r="Z84" s="50"/>
    </row>
    <row r="85" spans="1:26" ht="15.75" customHeight="1">
      <c r="A85" s="50"/>
      <c r="B85" s="50"/>
      <c r="C85" s="50"/>
      <c r="D85" s="50"/>
      <c r="E85" s="50"/>
      <c r="F85" s="50"/>
      <c r="G85" s="50"/>
      <c r="H85" s="50"/>
      <c r="I85" s="50"/>
      <c r="J85" s="50"/>
      <c r="K85" s="50"/>
      <c r="L85" s="50"/>
      <c r="M85" s="50"/>
      <c r="N85" s="50"/>
      <c r="O85" s="50"/>
      <c r="P85" s="50"/>
      <c r="Q85" s="50"/>
      <c r="R85" s="50"/>
      <c r="S85" s="50"/>
      <c r="T85" s="50"/>
      <c r="U85" s="50"/>
      <c r="V85" s="50"/>
      <c r="W85" s="50"/>
      <c r="X85" s="50"/>
      <c r="Y85" s="50"/>
      <c r="Z85" s="50"/>
    </row>
    <row r="86" spans="1:26" ht="15.75" customHeight="1">
      <c r="A86" s="50"/>
      <c r="B86" s="50"/>
      <c r="C86" s="50"/>
      <c r="D86" s="50"/>
      <c r="E86" s="50"/>
      <c r="F86" s="50"/>
      <c r="G86" s="50"/>
      <c r="H86" s="50"/>
      <c r="I86" s="50"/>
      <c r="J86" s="50"/>
      <c r="K86" s="50"/>
      <c r="L86" s="50"/>
      <c r="M86" s="50"/>
      <c r="N86" s="50"/>
      <c r="O86" s="50"/>
      <c r="P86" s="50"/>
      <c r="Q86" s="50"/>
      <c r="R86" s="50"/>
      <c r="S86" s="50"/>
      <c r="T86" s="50"/>
      <c r="U86" s="50"/>
      <c r="V86" s="50"/>
      <c r="W86" s="50"/>
      <c r="X86" s="50"/>
      <c r="Y86" s="50"/>
      <c r="Z86" s="50"/>
    </row>
    <row r="87" spans="1:26" ht="15.75" customHeight="1">
      <c r="A87" s="50"/>
      <c r="B87" s="50"/>
      <c r="C87" s="50"/>
      <c r="D87" s="50"/>
      <c r="E87" s="50"/>
      <c r="F87" s="50"/>
      <c r="G87" s="50"/>
      <c r="H87" s="50"/>
      <c r="I87" s="50"/>
      <c r="J87" s="50"/>
      <c r="K87" s="50"/>
      <c r="L87" s="50"/>
      <c r="M87" s="50"/>
      <c r="N87" s="50"/>
      <c r="O87" s="50"/>
      <c r="P87" s="50"/>
      <c r="Q87" s="50"/>
      <c r="R87" s="50"/>
      <c r="S87" s="50"/>
      <c r="T87" s="50"/>
      <c r="U87" s="50"/>
      <c r="V87" s="50"/>
      <c r="W87" s="50"/>
      <c r="X87" s="50"/>
      <c r="Y87" s="50"/>
      <c r="Z87" s="50"/>
    </row>
    <row r="88" spans="1:26" ht="15.75" customHeight="1">
      <c r="A88" s="50"/>
      <c r="B88" s="50"/>
      <c r="C88" s="50"/>
      <c r="D88" s="50"/>
      <c r="E88" s="50"/>
      <c r="F88" s="50"/>
      <c r="G88" s="50"/>
      <c r="H88" s="50"/>
      <c r="I88" s="50"/>
      <c r="J88" s="50"/>
      <c r="K88" s="50"/>
      <c r="L88" s="50"/>
      <c r="M88" s="50"/>
      <c r="N88" s="50"/>
      <c r="O88" s="50"/>
      <c r="P88" s="50"/>
      <c r="Q88" s="50"/>
      <c r="R88" s="50"/>
      <c r="S88" s="50"/>
      <c r="T88" s="50"/>
      <c r="U88" s="50"/>
      <c r="V88" s="50"/>
      <c r="W88" s="50"/>
      <c r="X88" s="50"/>
      <c r="Y88" s="50"/>
      <c r="Z88" s="50"/>
    </row>
    <row r="89" spans="1:26" ht="15.75" customHeight="1">
      <c r="A89" s="50"/>
      <c r="B89" s="50"/>
      <c r="C89" s="50"/>
      <c r="D89" s="50"/>
      <c r="E89" s="50"/>
      <c r="F89" s="50"/>
      <c r="G89" s="50"/>
      <c r="H89" s="50"/>
      <c r="I89" s="50"/>
      <c r="J89" s="50"/>
      <c r="K89" s="50"/>
      <c r="L89" s="50"/>
      <c r="M89" s="50"/>
      <c r="N89" s="50"/>
      <c r="O89" s="50"/>
      <c r="P89" s="50"/>
      <c r="Q89" s="50"/>
      <c r="R89" s="50"/>
      <c r="S89" s="50"/>
      <c r="T89" s="50"/>
      <c r="U89" s="50"/>
      <c r="V89" s="50"/>
      <c r="W89" s="50"/>
      <c r="X89" s="50"/>
      <c r="Y89" s="50"/>
      <c r="Z89" s="50"/>
    </row>
    <row r="90" spans="1:26" ht="15.75" customHeight="1">
      <c r="A90" s="50"/>
      <c r="B90" s="50"/>
      <c r="C90" s="50"/>
      <c r="D90" s="50"/>
      <c r="E90" s="50"/>
      <c r="F90" s="50"/>
      <c r="G90" s="50"/>
      <c r="H90" s="50"/>
      <c r="I90" s="50"/>
      <c r="J90" s="50"/>
      <c r="K90" s="50"/>
      <c r="L90" s="50"/>
      <c r="M90" s="50"/>
      <c r="N90" s="50"/>
      <c r="O90" s="50"/>
      <c r="P90" s="50"/>
      <c r="Q90" s="50"/>
      <c r="R90" s="50"/>
      <c r="S90" s="50"/>
      <c r="T90" s="50"/>
      <c r="U90" s="50"/>
      <c r="V90" s="50"/>
      <c r="W90" s="50"/>
      <c r="X90" s="50"/>
      <c r="Y90" s="50"/>
      <c r="Z90" s="50"/>
    </row>
    <row r="91" spans="1:26" ht="15.75" customHeight="1">
      <c r="A91" s="50"/>
      <c r="B91" s="50"/>
      <c r="C91" s="50"/>
      <c r="D91" s="50"/>
      <c r="E91" s="50"/>
      <c r="F91" s="50"/>
      <c r="G91" s="50"/>
      <c r="H91" s="50"/>
      <c r="I91" s="50"/>
      <c r="J91" s="50"/>
      <c r="K91" s="50"/>
      <c r="L91" s="50"/>
      <c r="M91" s="50"/>
      <c r="N91" s="50"/>
      <c r="O91" s="50"/>
      <c r="P91" s="50"/>
      <c r="Q91" s="50"/>
      <c r="R91" s="50"/>
      <c r="S91" s="50"/>
      <c r="T91" s="50"/>
      <c r="U91" s="50"/>
      <c r="V91" s="50"/>
      <c r="W91" s="50"/>
      <c r="X91" s="50"/>
      <c r="Y91" s="50"/>
      <c r="Z91" s="50"/>
    </row>
    <row r="92" spans="1:26" ht="15.75" customHeight="1">
      <c r="A92" s="50"/>
      <c r="B92" s="50"/>
      <c r="C92" s="50"/>
      <c r="D92" s="50"/>
      <c r="E92" s="50"/>
      <c r="F92" s="50"/>
      <c r="G92" s="50"/>
      <c r="H92" s="50"/>
      <c r="I92" s="50"/>
      <c r="J92" s="50"/>
      <c r="K92" s="50"/>
      <c r="L92" s="50"/>
      <c r="M92" s="50"/>
      <c r="N92" s="50"/>
      <c r="O92" s="50"/>
      <c r="P92" s="50"/>
      <c r="Q92" s="50"/>
      <c r="R92" s="50"/>
      <c r="S92" s="50"/>
      <c r="T92" s="50"/>
      <c r="U92" s="50"/>
      <c r="V92" s="50"/>
      <c r="W92" s="50"/>
      <c r="X92" s="50"/>
      <c r="Y92" s="50"/>
      <c r="Z92" s="50"/>
    </row>
    <row r="93" spans="1:26" ht="15.75" customHeight="1">
      <c r="A93" s="50"/>
      <c r="B93" s="50"/>
      <c r="C93" s="50"/>
      <c r="D93" s="50"/>
      <c r="E93" s="50"/>
      <c r="F93" s="50"/>
      <c r="G93" s="50"/>
      <c r="H93" s="50"/>
      <c r="I93" s="50"/>
      <c r="J93" s="50"/>
      <c r="K93" s="50"/>
      <c r="L93" s="50"/>
      <c r="M93" s="50"/>
      <c r="N93" s="50"/>
      <c r="O93" s="50"/>
      <c r="P93" s="50"/>
      <c r="Q93" s="50"/>
      <c r="R93" s="50"/>
      <c r="S93" s="50"/>
      <c r="T93" s="50"/>
      <c r="U93" s="50"/>
      <c r="V93" s="50"/>
      <c r="W93" s="50"/>
      <c r="X93" s="50"/>
      <c r="Y93" s="50"/>
      <c r="Z93" s="50"/>
    </row>
    <row r="94" spans="1:26" ht="15.75" customHeight="1">
      <c r="A94" s="50"/>
      <c r="B94" s="50"/>
      <c r="C94" s="50"/>
      <c r="D94" s="50"/>
      <c r="E94" s="50"/>
      <c r="F94" s="50"/>
      <c r="G94" s="50"/>
      <c r="H94" s="50"/>
      <c r="I94" s="50"/>
      <c r="J94" s="50"/>
      <c r="K94" s="50"/>
      <c r="L94" s="50"/>
      <c r="M94" s="50"/>
      <c r="N94" s="50"/>
      <c r="O94" s="50"/>
      <c r="P94" s="50"/>
      <c r="Q94" s="50"/>
      <c r="R94" s="50"/>
      <c r="S94" s="50"/>
      <c r="T94" s="50"/>
      <c r="U94" s="50"/>
      <c r="V94" s="50"/>
      <c r="W94" s="50"/>
      <c r="X94" s="50"/>
      <c r="Y94" s="50"/>
      <c r="Z94" s="50"/>
    </row>
    <row r="95" spans="1:26" ht="15.75" customHeight="1">
      <c r="A95" s="50"/>
      <c r="B95" s="50"/>
      <c r="C95" s="50"/>
      <c r="D95" s="50"/>
      <c r="E95" s="50"/>
      <c r="F95" s="50"/>
      <c r="G95" s="50"/>
      <c r="H95" s="50"/>
      <c r="I95" s="50"/>
      <c r="J95" s="50"/>
      <c r="K95" s="50"/>
      <c r="L95" s="50"/>
      <c r="M95" s="50"/>
      <c r="N95" s="50"/>
      <c r="O95" s="50"/>
      <c r="P95" s="50"/>
      <c r="Q95" s="50"/>
      <c r="R95" s="50"/>
      <c r="S95" s="50"/>
      <c r="T95" s="50"/>
      <c r="U95" s="50"/>
      <c r="V95" s="50"/>
      <c r="W95" s="50"/>
      <c r="X95" s="50"/>
      <c r="Y95" s="50"/>
      <c r="Z95" s="50"/>
    </row>
    <row r="96" spans="1:26" ht="15.75" customHeight="1">
      <c r="A96" s="50"/>
      <c r="B96" s="50"/>
      <c r="C96" s="50"/>
      <c r="D96" s="50"/>
      <c r="E96" s="50"/>
      <c r="F96" s="50"/>
      <c r="G96" s="50"/>
      <c r="H96" s="50"/>
      <c r="I96" s="50"/>
      <c r="J96" s="50"/>
      <c r="K96" s="50"/>
      <c r="L96" s="50"/>
      <c r="M96" s="50"/>
      <c r="N96" s="50"/>
      <c r="O96" s="50"/>
      <c r="P96" s="50"/>
      <c r="Q96" s="50"/>
      <c r="R96" s="50"/>
      <c r="S96" s="50"/>
      <c r="T96" s="50"/>
      <c r="U96" s="50"/>
      <c r="V96" s="50"/>
      <c r="W96" s="50"/>
      <c r="X96" s="50"/>
      <c r="Y96" s="50"/>
      <c r="Z96" s="50"/>
    </row>
    <row r="97" spans="1:26" ht="15.75" customHeight="1">
      <c r="A97" s="50"/>
      <c r="B97" s="50"/>
      <c r="C97" s="50"/>
      <c r="D97" s="50"/>
      <c r="E97" s="50"/>
      <c r="F97" s="50"/>
      <c r="G97" s="50"/>
      <c r="H97" s="50"/>
      <c r="I97" s="50"/>
      <c r="J97" s="50"/>
      <c r="K97" s="50"/>
      <c r="L97" s="50"/>
      <c r="M97" s="50"/>
      <c r="N97" s="50"/>
      <c r="O97" s="50"/>
      <c r="P97" s="50"/>
      <c r="Q97" s="50"/>
      <c r="R97" s="50"/>
      <c r="S97" s="50"/>
      <c r="T97" s="50"/>
      <c r="U97" s="50"/>
      <c r="V97" s="50"/>
      <c r="W97" s="50"/>
      <c r="X97" s="50"/>
      <c r="Y97" s="50"/>
      <c r="Z97" s="50"/>
    </row>
    <row r="98" spans="1:26" ht="15.75" customHeight="1">
      <c r="A98" s="50"/>
      <c r="B98" s="50"/>
      <c r="C98" s="50"/>
      <c r="D98" s="50"/>
      <c r="E98" s="50"/>
      <c r="F98" s="50"/>
      <c r="G98" s="50"/>
      <c r="H98" s="50"/>
      <c r="I98" s="50"/>
      <c r="J98" s="50"/>
      <c r="K98" s="50"/>
      <c r="L98" s="50"/>
      <c r="M98" s="50"/>
      <c r="N98" s="50"/>
      <c r="O98" s="50"/>
      <c r="P98" s="50"/>
      <c r="Q98" s="50"/>
      <c r="R98" s="50"/>
      <c r="S98" s="50"/>
      <c r="T98" s="50"/>
      <c r="U98" s="50"/>
      <c r="V98" s="50"/>
      <c r="W98" s="50"/>
      <c r="X98" s="50"/>
      <c r="Y98" s="50"/>
      <c r="Z98" s="50"/>
    </row>
    <row r="99" spans="1:26" ht="15.75" customHeight="1">
      <c r="A99" s="50"/>
      <c r="B99" s="50"/>
      <c r="C99" s="50"/>
      <c r="D99" s="50"/>
      <c r="E99" s="50"/>
      <c r="F99" s="50"/>
      <c r="G99" s="50"/>
      <c r="H99" s="50"/>
      <c r="I99" s="50"/>
      <c r="J99" s="50"/>
      <c r="K99" s="50"/>
      <c r="L99" s="50"/>
      <c r="M99" s="50"/>
      <c r="N99" s="50"/>
      <c r="O99" s="50"/>
      <c r="P99" s="50"/>
      <c r="Q99" s="50"/>
      <c r="R99" s="50"/>
      <c r="S99" s="50"/>
      <c r="T99" s="50"/>
      <c r="U99" s="50"/>
      <c r="V99" s="50"/>
      <c r="W99" s="50"/>
      <c r="X99" s="50"/>
      <c r="Y99" s="50"/>
      <c r="Z99" s="50"/>
    </row>
    <row r="100" spans="1:26" ht="15.75" customHeight="1">
      <c r="A100" s="50"/>
      <c r="B100" s="50"/>
      <c r="C100" s="50"/>
      <c r="D100" s="50"/>
      <c r="E100" s="50"/>
      <c r="F100" s="50"/>
      <c r="G100" s="50"/>
      <c r="H100" s="50"/>
      <c r="I100" s="50"/>
      <c r="J100" s="50"/>
      <c r="K100" s="50"/>
      <c r="L100" s="50"/>
      <c r="M100" s="50"/>
      <c r="N100" s="50"/>
      <c r="O100" s="50"/>
      <c r="P100" s="50"/>
      <c r="Q100" s="50"/>
      <c r="R100" s="50"/>
      <c r="S100" s="50"/>
      <c r="T100" s="50"/>
      <c r="U100" s="50"/>
      <c r="V100" s="50"/>
      <c r="W100" s="50"/>
      <c r="X100" s="50"/>
      <c r="Y100" s="50"/>
      <c r="Z100" s="50"/>
    </row>
    <row r="101" spans="1:26" ht="15.75" customHeight="1">
      <c r="A101" s="50"/>
      <c r="B101" s="50"/>
      <c r="C101" s="50"/>
      <c r="D101" s="50"/>
      <c r="E101" s="50"/>
      <c r="F101" s="50"/>
      <c r="G101" s="50"/>
      <c r="H101" s="50"/>
      <c r="I101" s="50"/>
      <c r="J101" s="50"/>
      <c r="K101" s="50"/>
      <c r="L101" s="50"/>
      <c r="M101" s="50"/>
      <c r="N101" s="50"/>
      <c r="O101" s="50"/>
      <c r="P101" s="50"/>
      <c r="Q101" s="50"/>
      <c r="R101" s="50"/>
      <c r="S101" s="50"/>
      <c r="T101" s="50"/>
      <c r="U101" s="50"/>
      <c r="V101" s="50"/>
      <c r="W101" s="50"/>
      <c r="X101" s="50"/>
      <c r="Y101" s="50"/>
      <c r="Z101" s="50"/>
    </row>
    <row r="102" spans="1:26" ht="15.75" customHeight="1">
      <c r="A102" s="50"/>
      <c r="B102" s="50"/>
      <c r="C102" s="50"/>
      <c r="D102" s="50"/>
      <c r="E102" s="50"/>
      <c r="F102" s="50"/>
      <c r="G102" s="50"/>
      <c r="H102" s="50"/>
      <c r="I102" s="50"/>
      <c r="J102" s="50"/>
      <c r="K102" s="50"/>
      <c r="L102" s="50"/>
      <c r="M102" s="50"/>
      <c r="N102" s="50"/>
      <c r="O102" s="50"/>
      <c r="P102" s="50"/>
      <c r="Q102" s="50"/>
      <c r="R102" s="50"/>
      <c r="S102" s="50"/>
      <c r="T102" s="50"/>
      <c r="U102" s="50"/>
      <c r="V102" s="50"/>
      <c r="W102" s="50"/>
      <c r="X102" s="50"/>
      <c r="Y102" s="50"/>
      <c r="Z102" s="50"/>
    </row>
    <row r="103" spans="1:26" ht="15.75" customHeight="1">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spans="1:26" ht="15.75" customHeight="1">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spans="1:26" ht="15.75" customHeight="1">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spans="1:26" ht="15.75" customHeight="1">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spans="1:26" ht="15.75" customHeight="1">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spans="1:26" ht="15.75" customHeight="1">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spans="1:26" ht="15.75" customHeight="1">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spans="1:26" ht="15.75" customHeight="1">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spans="1:26" ht="15.75" customHeight="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spans="1:26" ht="15.75" customHeight="1">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spans="1:26" ht="15.75" customHeight="1">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spans="1:26" ht="15.75" customHeight="1">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spans="1:26" ht="15.75" customHeight="1">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spans="1:26" ht="15.75" customHeight="1">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spans="1:26" ht="15.75" customHeight="1">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spans="1:26" ht="15.75" customHeight="1">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spans="1:26" ht="15.75" customHeight="1">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spans="1:26" ht="15.75" customHeight="1">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spans="1:26" ht="15.75" customHeight="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spans="1:26" ht="15.75" customHeight="1">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spans="1:26" ht="15.75" customHeight="1">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spans="1:26" ht="15.75" customHeight="1">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spans="1:26" ht="15.75" customHeight="1">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spans="1:26" ht="15.75" customHeight="1">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spans="1:26" ht="15.75" customHeight="1">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spans="1:26" ht="15.75" customHeight="1">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spans="1:26" ht="15.75" customHeight="1">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spans="1:26" ht="15.75" customHeight="1">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spans="1:26" ht="15.75" customHeight="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spans="1:26" ht="15.75" customHeight="1">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spans="1:26" ht="15.75" customHeight="1">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spans="1:26" ht="15.75" customHeight="1">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spans="1:26" ht="15.75" customHeight="1">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spans="1:26" ht="15.75" customHeight="1">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spans="1:26" ht="15.75" customHeight="1">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spans="1:26" ht="15.75" customHeight="1">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spans="1:26" ht="15.75" customHeight="1">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spans="1:26" ht="15.75" customHeight="1">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spans="1:26" ht="15.75" customHeight="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spans="1:26" ht="15.75" customHeight="1">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spans="1:26" ht="15.75" customHeight="1">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spans="1:26" ht="15.75" customHeight="1">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spans="1:26" ht="15.75" customHeight="1">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spans="1:26" ht="15.75" customHeight="1">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spans="1:26" ht="15.75" customHeight="1">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spans="1:26" ht="15.75" customHeight="1">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spans="1:26" ht="15.75" customHeight="1">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spans="1:26" ht="15.75" customHeight="1">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spans="1:26" ht="15.75" customHeight="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spans="1:26" ht="15.75" customHeight="1">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spans="1:26" ht="15.75" customHeight="1">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spans="1:26" ht="15.75" customHeight="1">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spans="1:26" ht="15.75" customHeight="1">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spans="1:26" ht="15.75" customHeight="1">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spans="1:26" ht="15.75" customHeight="1">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spans="1:26" ht="15.75" customHeight="1">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spans="1:26" ht="15.75" customHeight="1">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spans="1:26" ht="15.75" customHeight="1">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spans="1:26" ht="15.75" customHeight="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spans="1:26" ht="15.7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spans="1:26" ht="15.7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spans="1:26" ht="15.7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spans="1:26" ht="15.7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spans="1:26" ht="15.7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spans="1:26" ht="15.7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spans="1:26" ht="15.7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spans="1:26" ht="15.7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spans="1:26" ht="15.7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spans="1:26" ht="15.7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spans="1:26" ht="15.7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spans="1:26" ht="15.7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spans="1:26" ht="15.7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spans="1:26" ht="15.7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spans="1:26" ht="15.7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spans="1:26" ht="15.7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spans="1:26" ht="15.7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spans="1:26" ht="15.7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spans="1:26" ht="15.7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spans="1:26" ht="15.7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spans="1:26" ht="15.7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spans="1:26" ht="15.7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spans="1:26" ht="15.7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spans="1:26" ht="15.7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spans="1:26" ht="15.7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spans="1:26" ht="15.7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spans="1:26" ht="15.7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spans="1:26" ht="15.7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spans="1:26" ht="15.7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spans="1:26" ht="15.7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spans="1:26" ht="15.7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spans="1:26" ht="15.7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spans="1:26" ht="15.7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spans="1:26" ht="15.7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spans="1:26" ht="15.7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spans="1:26" ht="15.7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spans="1:26" ht="15.7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spans="1:26" ht="15.7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spans="1:26" ht="15.7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spans="1:26" ht="15.7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spans="1:26" ht="15.7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spans="1:26" ht="15.7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spans="1:26" ht="15.7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spans="1:26" ht="15.7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spans="1:26" ht="15.7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spans="1:26" ht="15.7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spans="1:26" ht="15.7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spans="1:26" ht="15.7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spans="1:26" ht="15.7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spans="1:26" ht="15.7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spans="1:26" ht="15.7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spans="1:26" ht="15.7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spans="1:26" ht="15.7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spans="1:26" ht="15.7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spans="1:26" ht="15.7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spans="1:26" ht="15.7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spans="1:26" ht="15.7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spans="1:26" ht="15.7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spans="1:26" ht="15.7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spans="1:26" ht="15.7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spans="1:26" ht="15.7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spans="1:26" ht="15.7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spans="1:26" ht="15.7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spans="1:26" ht="15.7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spans="1:26" ht="15.7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spans="1:26" ht="15.7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spans="1:26" ht="15.7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spans="1:26" ht="15.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spans="1:26" ht="15.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spans="1:26" ht="15.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spans="1:26" ht="15.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spans="1:26" ht="15.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spans="1:26" ht="15.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spans="1:26" ht="15.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spans="1:26" ht="15.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spans="1:26" ht="15.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spans="1:26" ht="15.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spans="1:26" ht="15.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spans="1:26" ht="15.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spans="1:26" ht="15.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spans="1:26" ht="15.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spans="1:26" ht="15.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spans="1:26" ht="15.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spans="1:26" ht="15.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spans="1:26" ht="15.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spans="1:26" ht="15.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spans="1:26" ht="15.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spans="1:26" ht="15.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spans="1:26" ht="15.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spans="1:26" ht="15.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spans="1:26" ht="15.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spans="1:26" ht="15.7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spans="1:26" ht="15.7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spans="1:26" ht="15.7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spans="1:26" ht="15.7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spans="1:26" ht="15.7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spans="1:26" ht="15.7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spans="1:26" ht="15.7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spans="1:26" ht="15.7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spans="1:26" ht="15.7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spans="1:26" ht="15.7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spans="1:26" ht="15.7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spans="1:26" ht="15.7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spans="1:26" ht="15.7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spans="1:26" ht="15.7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spans="1:26" ht="15.7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spans="1:26" ht="15.7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spans="1:26" ht="15.7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spans="1:26" ht="15.7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spans="1:26" ht="15.7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spans="1:26" ht="15.7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spans="1:26" ht="15.7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spans="1:26" ht="15.7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spans="1:26" ht="15.7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spans="1:26" ht="15.7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spans="1:26" ht="15.7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spans="1:26" ht="15.7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spans="1:26" ht="15.7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spans="1:26" ht="15.7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spans="1:26" ht="15.7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spans="1:26" ht="15.7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spans="1:26" ht="15.7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spans="1:26" ht="15.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spans="1:26" ht="15.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spans="1:26" ht="15.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spans="1:26" ht="15.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spans="1:26" ht="15.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spans="1:26" ht="15.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spans="1:26" ht="15.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spans="1:26" ht="15.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spans="1:26" ht="15.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spans="1:26" ht="15.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spans="1:26" ht="15.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spans="1:26" ht="15.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spans="1:26" ht="15.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spans="1:26" ht="15.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spans="1:26"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spans="1:26"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spans="1:26"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spans="1:26"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spans="1:26"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spans="1:26"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spans="1:26"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spans="1:26"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spans="1:2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spans="1:26"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spans="1:26"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spans="1:26"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spans="1:26"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spans="1:26"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spans="1:26"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spans="1:26"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spans="1:26"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spans="1:26"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spans="1:2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spans="1:26"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spans="1:26"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spans="1:26"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spans="1:26"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spans="1:26"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spans="1:26"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spans="1:26"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spans="1:26"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spans="1:26"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spans="1: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spans="1:26"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spans="1:26"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spans="1:26"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spans="1:26"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spans="1:26"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spans="1:26"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spans="1:26"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spans="1:26"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spans="1:26"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spans="1:2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spans="1:26"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spans="1:26"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spans="1:26"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spans="1:26"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spans="1:26"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spans="1:26"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spans="1:26"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spans="1:26"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spans="1:26"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spans="1:2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spans="1:26"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spans="1:26"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spans="1:26"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spans="1:26"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spans="1:26"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spans="1:26"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spans="1:26"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spans="1:26"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spans="1:26"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spans="1:2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spans="1:26"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spans="1:26"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spans="1:26"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spans="1:26"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spans="1:26"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spans="1:26"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spans="1:26"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spans="1:26"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spans="1:26"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spans="1:2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spans="1:26"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spans="1:26"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spans="1:26"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spans="1:26"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spans="1:26"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spans="1:26"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spans="1:26"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spans="1:26"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spans="1:26"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spans="1:2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spans="1:26"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spans="1:26"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spans="1:26"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spans="1:26"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spans="1:26"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spans="1:26"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spans="1:26"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spans="1:26"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spans="1:26"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spans="1:2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spans="1:26"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spans="1:26"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spans="1:26"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spans="1:26"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spans="1:26"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spans="1:26"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spans="1:26"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spans="1:26"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spans="1:26"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spans="1:2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spans="1:26"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spans="1:26"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spans="1:26"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spans="1:26"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spans="1:26"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spans="1:26"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spans="1:26"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spans="1:26"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spans="1:26"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spans="1:2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spans="1:26"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spans="1:26"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spans="1:26"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spans="1:26"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spans="1:26"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spans="1:26"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spans="1:26"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spans="1:26"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spans="1:26"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spans="1:2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spans="1:26"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spans="1:26"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spans="1:26"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spans="1:26"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spans="1:26"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spans="1:26"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spans="1:26"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spans="1:26"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spans="1:26"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spans="1: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spans="1:26"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spans="1:26"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spans="1:26"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spans="1:26"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spans="1:26"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spans="1:26"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spans="1:26"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spans="1:26"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spans="1:26"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spans="1:2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spans="1:26"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spans="1:26"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spans="1:26"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spans="1:26"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spans="1:26"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spans="1:26"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spans="1:26"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spans="1:26"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spans="1:26"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spans="1:2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spans="1:26"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spans="1:26"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spans="1:26"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spans="1:26"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spans="1:26"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spans="1:26"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spans="1:26"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spans="1:26"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spans="1:26"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spans="1:2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spans="1:26"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spans="1:26"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spans="1:26"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spans="1:26"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spans="1:26"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spans="1:26"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spans="1:26"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spans="1:26"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spans="1:26"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spans="1:2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spans="1:26"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spans="1:26"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spans="1:26"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spans="1:26"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spans="1:26"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spans="1:26"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spans="1:26"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spans="1:26"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spans="1:26"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spans="1:2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spans="1:26"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spans="1:26"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spans="1:26"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spans="1:26"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spans="1:26"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spans="1:26"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spans="1:26"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spans="1:26"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spans="1:26"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spans="1:2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spans="1:26"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spans="1:26"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spans="1:26"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spans="1:26"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spans="1:26"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spans="1:26"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spans="1:26"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spans="1:26"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spans="1:26"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spans="1:2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spans="1:26"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spans="1:26"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spans="1:26"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spans="1:26"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spans="1:26"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spans="1:26"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spans="1:26"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spans="1:26"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spans="1:26"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spans="1:2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spans="1:26"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spans="1:26"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spans="1:26"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spans="1:26"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spans="1:26"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spans="1:26"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spans="1:26"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spans="1:26"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spans="1:26"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spans="1:2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spans="1:26"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spans="1:26"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spans="1:26"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spans="1:26"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spans="1:26"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spans="1:26"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spans="1:26"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spans="1:26"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spans="1:26"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spans="1: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spans="1:26"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spans="1:26"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spans="1:26"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spans="1:26"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spans="1:26"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spans="1:26"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spans="1:26"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spans="1:26"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spans="1:26"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spans="1:2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spans="1:26"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spans="1:26"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spans="1:26"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spans="1:26"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spans="1:26"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spans="1:26"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spans="1:26"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spans="1:26"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spans="1:26"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spans="1:2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spans="1:26"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spans="1:26"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spans="1:26"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spans="1:26"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spans="1:26"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spans="1:26"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spans="1:26"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spans="1:26"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spans="1:26"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spans="1:2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spans="1:26"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spans="1:26"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spans="1:26"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spans="1:26"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spans="1:26"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spans="1:26"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spans="1:26"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spans="1:26"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spans="1:26"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spans="1:2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spans="1:26"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spans="1:26"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spans="1:26"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spans="1:26"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spans="1:26"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spans="1:26"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spans="1:26"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spans="1:26"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spans="1:26"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spans="1:2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spans="1:26"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spans="1:26"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spans="1:26"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spans="1:26"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spans="1:26"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spans="1:26"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spans="1:26"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spans="1:26"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spans="1:26"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spans="1:2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spans="1:26"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spans="1:26"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spans="1:26"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spans="1:26"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spans="1:26"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spans="1:26"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spans="1:26"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spans="1:26"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spans="1:26"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spans="1:2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spans="1:26"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spans="1:26"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spans="1:26"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spans="1:26"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spans="1:26"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spans="1:26"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spans="1:26"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spans="1:26"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spans="1:26"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spans="1:2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spans="1:26"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spans="1:26"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spans="1:26"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spans="1:26"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spans="1:26"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spans="1:26"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spans="1:26"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spans="1:26"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spans="1:26"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spans="1:2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spans="1:26"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spans="1:26"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spans="1:26"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spans="1:26"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spans="1:26"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spans="1:26"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spans="1:26"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spans="1:26"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spans="1:26"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spans="1: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spans="1:26"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spans="1:26"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spans="1:26"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spans="1:26"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spans="1:26"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spans="1:26"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spans="1:26"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spans="1:26"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spans="1:26"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spans="1:2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spans="1:26"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spans="1:26"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spans="1:26"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spans="1:26"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spans="1:26"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spans="1:26"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spans="1:26"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spans="1:26"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spans="1:26"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spans="1:2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spans="1:26"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spans="1:26"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spans="1:26"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spans="1:26"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spans="1:26"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spans="1:26"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spans="1:26"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spans="1:26"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spans="1:26"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spans="1:2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spans="1:26"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spans="1:26"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spans="1:26"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spans="1:26"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spans="1:26"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spans="1:26"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spans="1:26"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spans="1:26"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spans="1:26"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spans="1:2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spans="1:26"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spans="1:26"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spans="1:26"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spans="1:26"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spans="1:26"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spans="1:26"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spans="1:26"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spans="1:26"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spans="1:26"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spans="1:2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spans="1:26"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spans="1:26"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spans="1:26"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spans="1:26"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spans="1:26"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spans="1:26"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spans="1:26"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spans="1:26"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spans="1:26"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spans="1:2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spans="1:26"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spans="1:26"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spans="1:26"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spans="1:26"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spans="1:26"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spans="1:26"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spans="1:26"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spans="1:26"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spans="1:26"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spans="1:2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spans="1:26"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spans="1:26"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spans="1:26"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spans="1:26"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spans="1:26"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spans="1:26"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spans="1:26"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spans="1:26"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spans="1:26"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spans="1:2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spans="1:26"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spans="1:26"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spans="1:26"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spans="1:26"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spans="1:26"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spans="1:26"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spans="1:26"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spans="1:26"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spans="1:26"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spans="1:2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spans="1:26"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spans="1:26"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spans="1:26"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spans="1:26"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spans="1:26"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spans="1:26"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spans="1:26"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spans="1:26"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spans="1:26"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spans="1: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spans="1:26"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spans="1:26"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spans="1:26"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spans="1:26"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spans="1:26"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spans="1:26"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spans="1:26"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spans="1:26"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spans="1:26"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spans="1:2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spans="1:26"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spans="1:26"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spans="1:26"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spans="1:26"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spans="1:26"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spans="1:26"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spans="1:26"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spans="1:26"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spans="1:26"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spans="1:2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spans="1:26"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spans="1:26"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spans="1:26"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spans="1:26"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spans="1:26"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spans="1:26"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spans="1:26"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spans="1:26"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spans="1:26"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spans="1:2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spans="1:26"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spans="1:26"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spans="1:26"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spans="1:26"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spans="1:26"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spans="1:26"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spans="1:26"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spans="1:26"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spans="1:26"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spans="1:2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spans="1:26"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spans="1:26"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spans="1:26"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spans="1:26"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spans="1:26"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spans="1:26"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spans="1:26"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spans="1:26"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spans="1:26"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spans="1:2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spans="1:26"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spans="1:26"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spans="1:26"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spans="1:26"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spans="1:26"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spans="1:26"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spans="1:26"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spans="1:26"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spans="1:26"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spans="1:2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spans="1:26"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spans="1:26"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spans="1:26"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spans="1:26"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spans="1:26"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spans="1:26"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spans="1:26"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spans="1:26"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spans="1:26"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spans="1:2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spans="1:26"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spans="1:26"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spans="1:26"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spans="1:26"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spans="1:26"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spans="1:26"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spans="1:26"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spans="1:26"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spans="1:26"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spans="1:2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spans="1:26"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spans="1:26"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spans="1:26"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spans="1:26"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spans="1:26"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spans="1:26"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spans="1:26"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spans="1:26"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spans="1:26"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spans="1:2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spans="1:26"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spans="1:26"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spans="1:26"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spans="1:26"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spans="1:26"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spans="1:26"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spans="1:26"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spans="1:26"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spans="1:26"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spans="1: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spans="1:26"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spans="1:26"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spans="1:26"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spans="1:26"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spans="1:26"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spans="1:26"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spans="1:26"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spans="1:26"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spans="1:26"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spans="1:2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spans="1:26"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spans="1:26"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spans="1:26"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spans="1:26"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spans="1:26"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spans="1:26"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spans="1:26"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spans="1:26"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spans="1:26"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spans="1:2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spans="1:26"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spans="1:26"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spans="1:26"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spans="1:26"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spans="1:26"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spans="1:26"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spans="1:26"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spans="1:26"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spans="1:26"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spans="1:2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spans="1:26"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spans="1:26"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spans="1:26"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spans="1:26"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spans="1:26"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spans="1:26"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spans="1:26"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spans="1:26"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spans="1:26"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spans="1:2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spans="1:26"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spans="1:26"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spans="1:26"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spans="1:26"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spans="1:26"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spans="1:26"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spans="1:26"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spans="1:26"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spans="1:26"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spans="1:2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spans="1:26"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spans="1:26"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spans="1:26"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spans="1:26"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spans="1:26"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spans="1:26"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spans="1:26"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spans="1:26"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spans="1:26"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spans="1:2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spans="1:26"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spans="1:26"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spans="1:26"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spans="1:26"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spans="1:26"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spans="1:26"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spans="1:26"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spans="1:26"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spans="1:26"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spans="1:2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spans="1:26"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spans="1:26"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spans="1:26"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spans="1:26"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spans="1:26"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spans="1:26"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spans="1:26"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spans="1:26"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spans="1:26"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spans="1:2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spans="1:26"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spans="1:26"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spans="1:26"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spans="1:26"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spans="1:26"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spans="1:26"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spans="1:26"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spans="1:26"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spans="1:26"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spans="1:2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spans="1:26"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spans="1:26"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spans="1:26"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spans="1:26"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spans="1:26"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spans="1:26"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spans="1:26"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spans="1:26"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spans="1:26"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spans="1: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spans="1:26"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spans="1:26"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spans="1:26"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spans="1:26"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spans="1:26"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spans="1:26"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spans="1:26"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spans="1:26"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spans="1:26"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spans="1:2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spans="1:26"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spans="1:26"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spans="1:26"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spans="1:26"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spans="1:26"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spans="1:26"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spans="1:26"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spans="1:26"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spans="1:26"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spans="1:2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spans="1:26"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spans="1:26"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spans="1:26"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spans="1:26"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spans="1:26"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spans="1:26"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spans="1:26"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spans="1:26"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spans="1:26"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spans="1:2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spans="1:26"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spans="1:26"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spans="1:26"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spans="1:26"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spans="1:26"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spans="1:26"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spans="1:26"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spans="1:26"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spans="1:26"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spans="1:2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spans="1:26"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spans="1:26"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spans="1:26"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spans="1:26"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spans="1:26"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spans="1:26"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spans="1:26"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spans="1:26"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spans="1:26"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spans="1:2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spans="1:26"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spans="1:26"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spans="1:26"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spans="1:26"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spans="1:26"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spans="1:26"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spans="1:26"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spans="1:26"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spans="1:26"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spans="1:2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spans="1:26"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spans="1:26"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spans="1:26"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spans="1:26"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spans="1:26"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spans="1:26"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spans="1:26"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spans="1:26"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spans="1:26"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spans="1:2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spans="1:26"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spans="1:26"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spans="1:26"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spans="1:26"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11">
    <mergeCell ref="H1:H4"/>
    <mergeCell ref="I1:O1"/>
    <mergeCell ref="I2:O2"/>
    <mergeCell ref="I3:O3"/>
    <mergeCell ref="A1:A4"/>
    <mergeCell ref="B1:B4"/>
    <mergeCell ref="C1:C4"/>
    <mergeCell ref="D1:D4"/>
    <mergeCell ref="E1:E4"/>
    <mergeCell ref="F1:F4"/>
    <mergeCell ref="G1:G4"/>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1000"/>
  <sheetViews>
    <sheetView tabSelected="1" workbookViewId="0">
      <pane ySplit="4" topLeftCell="A5" activePane="bottomLeft" state="frozen"/>
      <selection pane="bottomLeft" activeCell="B6" sqref="B6"/>
    </sheetView>
  </sheetViews>
  <sheetFormatPr defaultColWidth="12.6328125" defaultRowHeight="15" customHeight="1"/>
  <cols>
    <col min="1" max="1" width="9.26953125" customWidth="1"/>
    <col min="2" max="2" width="18.90625" customWidth="1"/>
    <col min="3" max="3" width="34" customWidth="1"/>
    <col min="4" max="4" width="16.7265625" customWidth="1"/>
    <col min="5" max="7" width="8.6328125" customWidth="1"/>
    <col min="8" max="8" width="35.7265625" customWidth="1"/>
    <col min="9" max="9" width="18.36328125" customWidth="1"/>
    <col min="10" max="10" width="21.6328125" customWidth="1"/>
    <col min="11" max="11" width="22.453125" customWidth="1"/>
    <col min="12" max="12" width="24.26953125" customWidth="1"/>
    <col min="13" max="13" width="17.08984375" customWidth="1"/>
    <col min="14" max="14" width="11.7265625" customWidth="1"/>
    <col min="15" max="15" width="24" customWidth="1"/>
    <col min="16" max="19" width="12.7265625" customWidth="1"/>
  </cols>
  <sheetData>
    <row r="1" spans="1:19" ht="15.75" customHeight="1">
      <c r="A1" s="78" t="s">
        <v>0</v>
      </c>
      <c r="B1" s="78" t="s">
        <v>1</v>
      </c>
      <c r="C1" s="78" t="s">
        <v>2</v>
      </c>
      <c r="D1" s="80" t="s">
        <v>3</v>
      </c>
      <c r="E1" s="78" t="s">
        <v>4</v>
      </c>
      <c r="F1" s="78" t="s">
        <v>5</v>
      </c>
      <c r="G1" s="78" t="s">
        <v>6</v>
      </c>
      <c r="H1" s="78" t="s">
        <v>7</v>
      </c>
      <c r="I1" s="79" t="s">
        <v>8</v>
      </c>
      <c r="J1" s="75"/>
      <c r="K1" s="75"/>
      <c r="L1" s="75"/>
      <c r="M1" s="75"/>
      <c r="N1" s="75"/>
      <c r="O1" s="76"/>
      <c r="P1" s="22"/>
      <c r="Q1" s="22"/>
      <c r="R1" s="22"/>
      <c r="S1" s="22"/>
    </row>
    <row r="2" spans="1:19" ht="15.75" customHeight="1">
      <c r="A2" s="69"/>
      <c r="B2" s="69"/>
      <c r="C2" s="69"/>
      <c r="D2" s="69"/>
      <c r="E2" s="69"/>
      <c r="F2" s="69"/>
      <c r="G2" s="69"/>
      <c r="H2" s="69"/>
      <c r="I2" s="79" t="s">
        <v>328</v>
      </c>
      <c r="J2" s="75"/>
      <c r="K2" s="75"/>
      <c r="L2" s="75"/>
      <c r="M2" s="75"/>
      <c r="N2" s="75"/>
      <c r="O2" s="76"/>
      <c r="P2" s="22"/>
      <c r="Q2" s="22"/>
      <c r="R2" s="22"/>
      <c r="S2" s="22"/>
    </row>
    <row r="3" spans="1:19" ht="15.75" customHeight="1">
      <c r="A3" s="69"/>
      <c r="B3" s="69"/>
      <c r="C3" s="69"/>
      <c r="D3" s="69"/>
      <c r="E3" s="69"/>
      <c r="F3" s="69"/>
      <c r="G3" s="69"/>
      <c r="H3" s="69"/>
      <c r="I3" s="79"/>
      <c r="J3" s="75"/>
      <c r="K3" s="75"/>
      <c r="L3" s="75"/>
      <c r="M3" s="75"/>
      <c r="N3" s="75"/>
      <c r="O3" s="76"/>
      <c r="P3" s="22"/>
      <c r="Q3" s="22"/>
      <c r="R3" s="22"/>
      <c r="S3" s="22"/>
    </row>
    <row r="4" spans="1:19" ht="15.75" customHeight="1">
      <c r="A4" s="70"/>
      <c r="B4" s="70"/>
      <c r="C4" s="70"/>
      <c r="D4" s="70"/>
      <c r="E4" s="70"/>
      <c r="F4" s="70"/>
      <c r="G4" s="70"/>
      <c r="H4" s="70"/>
      <c r="I4" s="3" t="s">
        <v>10</v>
      </c>
      <c r="J4" s="3" t="s">
        <v>11</v>
      </c>
      <c r="K4" s="3" t="s">
        <v>12</v>
      </c>
      <c r="L4" s="3" t="s">
        <v>13</v>
      </c>
      <c r="M4" s="3" t="s">
        <v>14</v>
      </c>
      <c r="N4" s="3" t="s">
        <v>15</v>
      </c>
      <c r="O4" s="3" t="s">
        <v>16</v>
      </c>
      <c r="P4" s="3" t="s">
        <v>17</v>
      </c>
      <c r="Q4" s="3" t="s">
        <v>18</v>
      </c>
      <c r="R4" s="3" t="s">
        <v>19</v>
      </c>
      <c r="S4" s="3" t="s">
        <v>20</v>
      </c>
    </row>
    <row r="5" spans="1:19" ht="15.75" customHeight="1">
      <c r="A5" s="23"/>
      <c r="B5" s="24"/>
      <c r="C5" s="24"/>
      <c r="D5" s="25"/>
      <c r="E5" s="26"/>
      <c r="F5" s="26"/>
      <c r="G5" s="26"/>
      <c r="H5" s="23"/>
      <c r="I5" s="22"/>
      <c r="J5" s="22"/>
      <c r="K5" s="22"/>
      <c r="L5" s="22"/>
      <c r="M5" s="27"/>
      <c r="N5" s="27"/>
      <c r="O5" s="27"/>
      <c r="P5" s="27"/>
      <c r="Q5" s="27"/>
      <c r="R5" s="27"/>
      <c r="S5" s="27"/>
    </row>
    <row r="6" spans="1:19" ht="15.75" customHeight="1">
      <c r="A6" s="10"/>
      <c r="B6" s="10" t="s">
        <v>21</v>
      </c>
      <c r="C6" s="10" t="s">
        <v>22</v>
      </c>
      <c r="D6" s="72" t="s">
        <v>332</v>
      </c>
      <c r="E6" s="73"/>
      <c r="F6" s="73"/>
      <c r="G6" s="10"/>
      <c r="H6" s="10" t="s">
        <v>476</v>
      </c>
      <c r="I6" s="65">
        <v>12</v>
      </c>
      <c r="J6" s="66">
        <v>18</v>
      </c>
      <c r="K6" s="66">
        <v>12</v>
      </c>
      <c r="L6" s="66">
        <v>24</v>
      </c>
      <c r="M6" s="66">
        <v>35</v>
      </c>
      <c r="N6" s="66">
        <v>47</v>
      </c>
      <c r="O6" s="66">
        <v>59</v>
      </c>
      <c r="P6" s="66">
        <v>74</v>
      </c>
      <c r="Q6" s="66">
        <v>74</v>
      </c>
      <c r="R6" s="66">
        <v>12</v>
      </c>
      <c r="S6" s="66">
        <v>24</v>
      </c>
    </row>
    <row r="7" spans="1:19" ht="15.75" customHeight="1">
      <c r="A7" s="10"/>
      <c r="B7" s="10" t="s">
        <v>21</v>
      </c>
      <c r="C7" s="10" t="s">
        <v>25</v>
      </c>
      <c r="D7" s="72" t="s">
        <v>335</v>
      </c>
      <c r="E7" s="73"/>
      <c r="F7" s="73"/>
      <c r="G7" s="10"/>
      <c r="H7" s="10" t="s">
        <v>336</v>
      </c>
      <c r="I7" s="65">
        <v>18</v>
      </c>
      <c r="J7" s="66">
        <v>24</v>
      </c>
      <c r="K7" s="66">
        <v>18</v>
      </c>
      <c r="L7" s="66">
        <v>30</v>
      </c>
      <c r="M7" s="66">
        <v>70</v>
      </c>
      <c r="N7" s="66">
        <v>94</v>
      </c>
      <c r="O7" s="66">
        <v>108</v>
      </c>
      <c r="P7" s="66">
        <v>148</v>
      </c>
      <c r="Q7" s="66">
        <v>148</v>
      </c>
      <c r="R7" s="66">
        <v>24</v>
      </c>
      <c r="S7" s="66">
        <v>48</v>
      </c>
    </row>
    <row r="8" spans="1:19" ht="15.75" customHeight="1">
      <c r="A8" s="10"/>
      <c r="B8" s="10" t="s">
        <v>22</v>
      </c>
      <c r="C8" s="10" t="s">
        <v>29</v>
      </c>
      <c r="D8" s="10" t="s">
        <v>30</v>
      </c>
      <c r="E8" s="10"/>
      <c r="F8" s="10"/>
      <c r="G8" s="10"/>
      <c r="H8" s="10" t="s">
        <v>562</v>
      </c>
      <c r="I8" s="65">
        <v>41</v>
      </c>
      <c r="J8" s="65">
        <v>47</v>
      </c>
      <c r="K8" s="65">
        <v>53</v>
      </c>
      <c r="L8" s="65">
        <v>65</v>
      </c>
      <c r="M8" s="65">
        <v>165</v>
      </c>
      <c r="N8" s="66">
        <v>236</v>
      </c>
      <c r="O8" s="66">
        <v>295</v>
      </c>
      <c r="P8" s="66">
        <v>354</v>
      </c>
      <c r="Q8" s="65">
        <v>354</v>
      </c>
      <c r="R8" s="65">
        <v>12</v>
      </c>
      <c r="S8" s="65">
        <v>47</v>
      </c>
    </row>
    <row r="9" spans="1:19" ht="15.75" customHeight="1">
      <c r="A9" s="10"/>
      <c r="B9" s="10" t="s">
        <v>22</v>
      </c>
      <c r="C9" s="10" t="s">
        <v>341</v>
      </c>
      <c r="D9" s="72" t="s">
        <v>34</v>
      </c>
      <c r="E9" s="73"/>
      <c r="F9" s="10"/>
      <c r="G9" s="10"/>
      <c r="H9" s="10" t="s">
        <v>563</v>
      </c>
      <c r="I9" s="65">
        <v>47</v>
      </c>
      <c r="J9" s="65">
        <v>53</v>
      </c>
      <c r="K9" s="65">
        <v>59</v>
      </c>
      <c r="L9" s="65">
        <v>71</v>
      </c>
      <c r="M9" s="65">
        <v>195</v>
      </c>
      <c r="N9" s="66">
        <v>295</v>
      </c>
      <c r="O9" s="66">
        <v>383</v>
      </c>
      <c r="P9" s="66">
        <v>427</v>
      </c>
      <c r="Q9" s="66">
        <v>427</v>
      </c>
      <c r="R9" s="66">
        <v>12</v>
      </c>
      <c r="S9" s="66">
        <v>47</v>
      </c>
    </row>
    <row r="10" spans="1:19" ht="15.75" customHeight="1">
      <c r="A10" s="10"/>
      <c r="B10" s="10" t="s">
        <v>22</v>
      </c>
      <c r="C10" s="10" t="s">
        <v>29</v>
      </c>
      <c r="D10" s="10" t="s">
        <v>36</v>
      </c>
      <c r="E10" s="10"/>
      <c r="F10" s="10"/>
      <c r="G10" s="10"/>
      <c r="H10" s="10" t="s">
        <v>343</v>
      </c>
      <c r="I10" s="66">
        <v>77</v>
      </c>
      <c r="J10" s="65">
        <v>83</v>
      </c>
      <c r="K10" s="65">
        <v>89</v>
      </c>
      <c r="L10" s="65">
        <v>101</v>
      </c>
      <c r="M10" s="65">
        <v>225</v>
      </c>
      <c r="N10" s="66">
        <v>324</v>
      </c>
      <c r="O10" s="66">
        <v>445</v>
      </c>
      <c r="P10" s="65">
        <v>560</v>
      </c>
      <c r="Q10" s="65">
        <v>560</v>
      </c>
      <c r="R10" s="65">
        <v>30</v>
      </c>
      <c r="S10" s="65">
        <v>65</v>
      </c>
    </row>
    <row r="11" spans="1:19" ht="15.75" customHeight="1">
      <c r="A11" s="10"/>
      <c r="B11" s="10"/>
      <c r="C11" s="10"/>
      <c r="D11" s="10"/>
      <c r="E11" s="10"/>
      <c r="F11" s="10"/>
      <c r="G11" s="10"/>
      <c r="H11" s="10"/>
      <c r="I11" s="10"/>
      <c r="J11" s="10"/>
      <c r="K11" s="10"/>
      <c r="L11" s="10"/>
      <c r="M11" s="13"/>
      <c r="N11" s="10"/>
      <c r="O11" s="10"/>
      <c r="P11" s="10"/>
      <c r="Q11" s="10"/>
      <c r="R11" s="10"/>
      <c r="S11" s="10"/>
    </row>
    <row r="12" spans="1:19" ht="15.75" customHeight="1">
      <c r="A12" s="10"/>
      <c r="B12" s="10" t="s">
        <v>28</v>
      </c>
      <c r="C12" s="10" t="s">
        <v>38</v>
      </c>
      <c r="D12" s="10" t="s">
        <v>30</v>
      </c>
      <c r="E12" s="10"/>
      <c r="F12" s="10"/>
      <c r="G12" s="10"/>
      <c r="H12" s="10" t="s">
        <v>564</v>
      </c>
      <c r="I12" s="65">
        <v>71</v>
      </c>
      <c r="J12" s="65">
        <v>76</v>
      </c>
      <c r="K12" s="65">
        <v>80</v>
      </c>
      <c r="L12" s="65">
        <v>85</v>
      </c>
      <c r="M12" s="65">
        <v>195</v>
      </c>
      <c r="N12" s="66">
        <v>265</v>
      </c>
      <c r="O12" s="66">
        <v>324</v>
      </c>
      <c r="P12" s="65">
        <v>354</v>
      </c>
      <c r="Q12" s="65">
        <v>354</v>
      </c>
      <c r="R12" s="65">
        <v>12</v>
      </c>
      <c r="S12" s="65">
        <v>47</v>
      </c>
    </row>
    <row r="13" spans="1:19" ht="15.75" customHeight="1">
      <c r="A13" s="10"/>
      <c r="B13" s="10" t="s">
        <v>28</v>
      </c>
      <c r="C13" s="10" t="s">
        <v>38</v>
      </c>
      <c r="D13" s="10" t="s">
        <v>36</v>
      </c>
      <c r="E13" s="10"/>
      <c r="F13" s="10"/>
      <c r="G13" s="10"/>
      <c r="H13" s="10" t="s">
        <v>565</v>
      </c>
      <c r="I13" s="66">
        <v>107</v>
      </c>
      <c r="J13" s="65">
        <v>112</v>
      </c>
      <c r="K13" s="65">
        <v>116</v>
      </c>
      <c r="L13" s="65">
        <v>121</v>
      </c>
      <c r="M13" s="65">
        <v>255</v>
      </c>
      <c r="N13" s="66">
        <v>353</v>
      </c>
      <c r="O13" s="66">
        <v>474</v>
      </c>
      <c r="P13" s="65">
        <v>560</v>
      </c>
      <c r="Q13" s="65">
        <v>560</v>
      </c>
      <c r="R13" s="65">
        <v>30</v>
      </c>
      <c r="S13" s="65">
        <v>65</v>
      </c>
    </row>
    <row r="14" spans="1:19" ht="15.75" customHeight="1">
      <c r="A14" s="10"/>
      <c r="B14" s="10" t="s">
        <v>28</v>
      </c>
      <c r="C14" s="10" t="s">
        <v>41</v>
      </c>
      <c r="D14" s="10" t="s">
        <v>30</v>
      </c>
      <c r="E14" s="10"/>
      <c r="F14" s="10"/>
      <c r="G14" s="10"/>
      <c r="H14" s="10" t="s">
        <v>566</v>
      </c>
      <c r="I14" s="65">
        <v>71</v>
      </c>
      <c r="J14" s="65">
        <v>76</v>
      </c>
      <c r="K14" s="65">
        <v>80</v>
      </c>
      <c r="L14" s="65">
        <v>85</v>
      </c>
      <c r="M14" s="65">
        <v>195</v>
      </c>
      <c r="N14" s="66">
        <v>265</v>
      </c>
      <c r="O14" s="66">
        <v>324</v>
      </c>
      <c r="P14" s="65">
        <v>354</v>
      </c>
      <c r="Q14" s="66">
        <v>354</v>
      </c>
      <c r="R14" s="66">
        <v>12</v>
      </c>
      <c r="S14" s="66">
        <v>47</v>
      </c>
    </row>
    <row r="15" spans="1:19" ht="15.75" customHeight="1">
      <c r="A15" s="10"/>
      <c r="B15" s="10" t="s">
        <v>28</v>
      </c>
      <c r="C15" s="10" t="s">
        <v>41</v>
      </c>
      <c r="D15" s="10" t="s">
        <v>36</v>
      </c>
      <c r="E15" s="10"/>
      <c r="F15" s="10"/>
      <c r="G15" s="10"/>
      <c r="H15" s="10" t="s">
        <v>567</v>
      </c>
      <c r="I15" s="66">
        <v>107</v>
      </c>
      <c r="J15" s="65">
        <v>112</v>
      </c>
      <c r="K15" s="65">
        <v>116</v>
      </c>
      <c r="L15" s="65">
        <v>121</v>
      </c>
      <c r="M15" s="65">
        <v>255</v>
      </c>
      <c r="N15" s="66">
        <v>353</v>
      </c>
      <c r="O15" s="66">
        <v>474</v>
      </c>
      <c r="P15" s="65">
        <v>560</v>
      </c>
      <c r="Q15" s="65">
        <v>560</v>
      </c>
      <c r="R15" s="65">
        <v>30</v>
      </c>
      <c r="S15" s="65">
        <v>65</v>
      </c>
    </row>
    <row r="16" spans="1:19" ht="15.75" customHeight="1">
      <c r="A16" s="10"/>
      <c r="B16" s="10" t="s">
        <v>28</v>
      </c>
      <c r="C16" s="10" t="s">
        <v>477</v>
      </c>
      <c r="D16" s="10" t="s">
        <v>30</v>
      </c>
      <c r="E16" s="10"/>
      <c r="F16" s="10"/>
      <c r="G16" s="10"/>
      <c r="H16" s="10" t="s">
        <v>568</v>
      </c>
      <c r="I16" s="65">
        <v>71</v>
      </c>
      <c r="J16" s="65">
        <v>78</v>
      </c>
      <c r="K16" s="65">
        <v>82</v>
      </c>
      <c r="L16" s="65">
        <v>88</v>
      </c>
      <c r="M16" s="65">
        <v>230</v>
      </c>
      <c r="N16" s="66">
        <v>312</v>
      </c>
      <c r="O16" s="66">
        <v>383</v>
      </c>
      <c r="P16" s="65">
        <v>427</v>
      </c>
      <c r="Q16" s="66">
        <v>427</v>
      </c>
      <c r="R16" s="66">
        <v>12</v>
      </c>
      <c r="S16" s="66">
        <v>47</v>
      </c>
    </row>
    <row r="17" spans="1:19" ht="15.75" customHeight="1">
      <c r="A17" s="10"/>
      <c r="B17" s="10" t="s">
        <v>28</v>
      </c>
      <c r="C17" s="10" t="s">
        <v>478</v>
      </c>
      <c r="D17" s="10" t="s">
        <v>30</v>
      </c>
      <c r="E17" s="10"/>
      <c r="F17" s="10"/>
      <c r="G17" s="10"/>
      <c r="H17" s="10" t="s">
        <v>351</v>
      </c>
      <c r="I17" s="65">
        <v>71</v>
      </c>
      <c r="J17" s="66">
        <v>78</v>
      </c>
      <c r="K17" s="66">
        <v>82</v>
      </c>
      <c r="L17" s="66">
        <v>88</v>
      </c>
      <c r="M17" s="66">
        <v>230</v>
      </c>
      <c r="N17" s="66">
        <v>312</v>
      </c>
      <c r="O17" s="66">
        <v>383</v>
      </c>
      <c r="P17" s="65">
        <v>427</v>
      </c>
      <c r="Q17" s="65">
        <v>427</v>
      </c>
      <c r="R17" s="65">
        <v>12</v>
      </c>
      <c r="S17" s="65">
        <v>47</v>
      </c>
    </row>
    <row r="18" spans="1:19" ht="15.75" customHeight="1">
      <c r="A18" s="10"/>
      <c r="B18" s="10"/>
      <c r="C18" s="10"/>
      <c r="D18" s="10"/>
      <c r="E18" s="10"/>
      <c r="F18" s="10"/>
      <c r="G18" s="10"/>
      <c r="H18" s="10"/>
      <c r="I18" s="10"/>
      <c r="J18" s="10"/>
      <c r="K18" s="10"/>
      <c r="L18" s="10"/>
      <c r="M18" s="10"/>
      <c r="N18" s="10"/>
      <c r="O18" s="10"/>
      <c r="P18" s="10"/>
      <c r="Q18" s="10"/>
      <c r="R18" s="10"/>
      <c r="S18" s="10"/>
    </row>
    <row r="19" spans="1:19" ht="15.75" customHeight="1">
      <c r="A19" s="10"/>
      <c r="B19" s="10" t="s">
        <v>28</v>
      </c>
      <c r="C19" s="10" t="s">
        <v>50</v>
      </c>
      <c r="D19" s="10" t="s">
        <v>30</v>
      </c>
      <c r="E19" s="10"/>
      <c r="F19" s="10"/>
      <c r="G19" s="10"/>
      <c r="H19" s="10" t="s">
        <v>569</v>
      </c>
      <c r="I19" s="66">
        <v>71</v>
      </c>
      <c r="J19" s="66">
        <v>76</v>
      </c>
      <c r="K19" s="66">
        <v>80</v>
      </c>
      <c r="L19" s="66">
        <v>85</v>
      </c>
      <c r="M19" s="66">
        <v>195</v>
      </c>
      <c r="N19" s="66">
        <v>295</v>
      </c>
      <c r="O19" s="66">
        <v>354</v>
      </c>
      <c r="P19" s="66">
        <v>412</v>
      </c>
      <c r="Q19" s="66">
        <v>412</v>
      </c>
      <c r="R19" s="66">
        <v>12</v>
      </c>
      <c r="S19" s="66">
        <v>47</v>
      </c>
    </row>
    <row r="20" spans="1:19" ht="15.75" customHeight="1">
      <c r="A20" s="10"/>
      <c r="B20" s="10" t="s">
        <v>28</v>
      </c>
      <c r="C20" s="10" t="s">
        <v>50</v>
      </c>
      <c r="D20" s="10" t="s">
        <v>36</v>
      </c>
      <c r="E20" s="10"/>
      <c r="F20" s="10"/>
      <c r="G20" s="10"/>
      <c r="H20" s="10" t="s">
        <v>570</v>
      </c>
      <c r="I20" s="66">
        <v>107</v>
      </c>
      <c r="J20" s="65">
        <v>112</v>
      </c>
      <c r="K20" s="65">
        <v>116</v>
      </c>
      <c r="L20" s="65">
        <v>121</v>
      </c>
      <c r="M20" s="65">
        <v>255</v>
      </c>
      <c r="N20" s="66">
        <v>383</v>
      </c>
      <c r="O20" s="66">
        <v>504</v>
      </c>
      <c r="P20" s="65">
        <v>618</v>
      </c>
      <c r="Q20" s="65">
        <v>618</v>
      </c>
      <c r="R20" s="66">
        <v>30</v>
      </c>
      <c r="S20" s="66">
        <v>65</v>
      </c>
    </row>
    <row r="21" spans="1:19" ht="15.75" customHeight="1">
      <c r="A21" s="10"/>
      <c r="B21" s="10" t="s">
        <v>28</v>
      </c>
      <c r="C21" s="10" t="s">
        <v>53</v>
      </c>
      <c r="D21" s="10" t="s">
        <v>30</v>
      </c>
      <c r="E21" s="10"/>
      <c r="F21" s="10"/>
      <c r="G21" s="10"/>
      <c r="H21" s="10" t="s">
        <v>479</v>
      </c>
      <c r="I21" s="66">
        <v>71</v>
      </c>
      <c r="J21" s="66">
        <v>76</v>
      </c>
      <c r="K21" s="66">
        <v>80</v>
      </c>
      <c r="L21" s="66">
        <v>85</v>
      </c>
      <c r="M21" s="66">
        <v>206</v>
      </c>
      <c r="N21" s="66">
        <v>295</v>
      </c>
      <c r="O21" s="66">
        <v>354</v>
      </c>
      <c r="P21" s="66">
        <v>412</v>
      </c>
      <c r="Q21" s="66">
        <v>412</v>
      </c>
      <c r="R21" s="66">
        <v>12</v>
      </c>
      <c r="S21" s="66">
        <v>47</v>
      </c>
    </row>
    <row r="22" spans="1:19" ht="15.75" customHeight="1">
      <c r="A22" s="10"/>
      <c r="B22" s="10" t="s">
        <v>28</v>
      </c>
      <c r="C22" s="10" t="s">
        <v>53</v>
      </c>
      <c r="D22" s="10" t="s">
        <v>36</v>
      </c>
      <c r="E22" s="10"/>
      <c r="F22" s="10"/>
      <c r="G22" s="10"/>
      <c r="H22" s="10" t="s">
        <v>480</v>
      </c>
      <c r="I22" s="66">
        <v>107</v>
      </c>
      <c r="J22" s="65">
        <v>112</v>
      </c>
      <c r="K22" s="65">
        <v>116</v>
      </c>
      <c r="L22" s="65">
        <v>121</v>
      </c>
      <c r="M22" s="65">
        <v>255</v>
      </c>
      <c r="N22" s="66">
        <v>383</v>
      </c>
      <c r="O22" s="66">
        <v>504</v>
      </c>
      <c r="P22" s="65">
        <v>618</v>
      </c>
      <c r="Q22" s="65">
        <v>618</v>
      </c>
      <c r="R22" s="66">
        <v>30</v>
      </c>
      <c r="S22" s="66">
        <v>65</v>
      </c>
    </row>
    <row r="23" spans="1:19" ht="15.75" customHeight="1">
      <c r="A23" s="10"/>
      <c r="B23" s="10" t="s">
        <v>28</v>
      </c>
      <c r="C23" s="10" t="s">
        <v>56</v>
      </c>
      <c r="D23" s="10" t="s">
        <v>30</v>
      </c>
      <c r="E23" s="10"/>
      <c r="F23" s="10"/>
      <c r="G23" s="10"/>
      <c r="H23" s="10" t="s">
        <v>357</v>
      </c>
      <c r="I23" s="66">
        <v>76</v>
      </c>
      <c r="J23" s="66">
        <v>80</v>
      </c>
      <c r="K23" s="66">
        <v>85</v>
      </c>
      <c r="L23" s="66">
        <v>90</v>
      </c>
      <c r="M23" s="66">
        <v>206</v>
      </c>
      <c r="N23" s="66">
        <v>295</v>
      </c>
      <c r="O23" s="66">
        <v>354</v>
      </c>
      <c r="P23" s="66">
        <v>412</v>
      </c>
      <c r="Q23" s="65">
        <v>412</v>
      </c>
      <c r="R23" s="66">
        <v>12</v>
      </c>
      <c r="S23" s="66">
        <v>47</v>
      </c>
    </row>
    <row r="24" spans="1:19" ht="15.75" customHeight="1">
      <c r="A24" s="10"/>
      <c r="B24" s="10" t="s">
        <v>28</v>
      </c>
      <c r="C24" s="10" t="s">
        <v>56</v>
      </c>
      <c r="D24" s="10" t="s">
        <v>36</v>
      </c>
      <c r="E24" s="10"/>
      <c r="F24" s="10"/>
      <c r="G24" s="10"/>
      <c r="H24" s="10" t="s">
        <v>358</v>
      </c>
      <c r="I24" s="66">
        <v>112</v>
      </c>
      <c r="J24" s="65">
        <v>116</v>
      </c>
      <c r="K24" s="65">
        <v>121</v>
      </c>
      <c r="L24" s="65">
        <v>126</v>
      </c>
      <c r="M24" s="65">
        <v>266</v>
      </c>
      <c r="N24" s="66">
        <v>388</v>
      </c>
      <c r="O24" s="66">
        <v>504</v>
      </c>
      <c r="P24" s="65">
        <v>628</v>
      </c>
      <c r="Q24" s="65">
        <v>628</v>
      </c>
      <c r="R24" s="66">
        <v>30</v>
      </c>
      <c r="S24" s="66">
        <v>65</v>
      </c>
    </row>
    <row r="25" spans="1:19" ht="15.75" customHeight="1">
      <c r="A25" s="10"/>
      <c r="B25" s="10"/>
      <c r="C25" s="10"/>
      <c r="D25" s="10"/>
      <c r="E25" s="10"/>
      <c r="F25" s="10"/>
      <c r="G25" s="10"/>
      <c r="H25" s="10"/>
      <c r="I25" s="10"/>
      <c r="J25" s="10"/>
      <c r="K25" s="10"/>
      <c r="L25" s="10"/>
      <c r="M25" s="10"/>
      <c r="N25" s="10"/>
      <c r="O25" s="10"/>
      <c r="P25" s="10"/>
      <c r="Q25" s="10"/>
      <c r="R25" s="10"/>
      <c r="S25" s="10"/>
    </row>
    <row r="26" spans="1:19" ht="15.75" customHeight="1">
      <c r="A26" s="10"/>
      <c r="B26" s="10" t="s">
        <v>28</v>
      </c>
      <c r="C26" s="10" t="s">
        <v>59</v>
      </c>
      <c r="D26" s="10" t="s">
        <v>30</v>
      </c>
      <c r="E26" s="10"/>
      <c r="F26" s="10"/>
      <c r="G26" s="10"/>
      <c r="H26" s="10" t="s">
        <v>359</v>
      </c>
      <c r="I26" s="66">
        <v>71</v>
      </c>
      <c r="J26" s="66">
        <v>76</v>
      </c>
      <c r="K26" s="66">
        <v>80</v>
      </c>
      <c r="L26" s="66">
        <v>85</v>
      </c>
      <c r="M26" s="66">
        <v>195</v>
      </c>
      <c r="N26" s="66">
        <v>265</v>
      </c>
      <c r="O26" s="66">
        <v>324</v>
      </c>
      <c r="P26" s="66">
        <v>354</v>
      </c>
      <c r="Q26" s="66">
        <v>354</v>
      </c>
      <c r="R26" s="66">
        <v>12</v>
      </c>
      <c r="S26" s="66">
        <v>47</v>
      </c>
    </row>
    <row r="27" spans="1:19" ht="15.75" customHeight="1">
      <c r="A27" s="10"/>
      <c r="B27" s="10" t="s">
        <v>28</v>
      </c>
      <c r="C27" s="10" t="s">
        <v>59</v>
      </c>
      <c r="D27" s="10" t="s">
        <v>36</v>
      </c>
      <c r="E27" s="10"/>
      <c r="F27" s="10"/>
      <c r="G27" s="10"/>
      <c r="H27" s="10" t="s">
        <v>360</v>
      </c>
      <c r="I27" s="66">
        <v>107</v>
      </c>
      <c r="J27" s="65">
        <v>112</v>
      </c>
      <c r="K27" s="65">
        <v>116</v>
      </c>
      <c r="L27" s="65">
        <v>121</v>
      </c>
      <c r="M27" s="65">
        <v>255</v>
      </c>
      <c r="N27" s="66">
        <v>383</v>
      </c>
      <c r="O27" s="66">
        <v>504</v>
      </c>
      <c r="P27" s="65">
        <v>618</v>
      </c>
      <c r="Q27" s="65">
        <v>618</v>
      </c>
      <c r="R27" s="66">
        <v>30</v>
      </c>
      <c r="S27" s="66">
        <v>65</v>
      </c>
    </row>
    <row r="28" spans="1:19" ht="15.75" customHeight="1">
      <c r="A28" s="10"/>
      <c r="B28" s="10" t="s">
        <v>28</v>
      </c>
      <c r="C28" s="10" t="s">
        <v>62</v>
      </c>
      <c r="D28" s="10" t="s">
        <v>30</v>
      </c>
      <c r="E28" s="10"/>
      <c r="F28" s="10"/>
      <c r="G28" s="10"/>
      <c r="H28" s="10" t="s">
        <v>361</v>
      </c>
      <c r="I28" s="66">
        <v>71</v>
      </c>
      <c r="J28" s="66">
        <v>76</v>
      </c>
      <c r="K28" s="66">
        <v>80</v>
      </c>
      <c r="L28" s="66">
        <v>85</v>
      </c>
      <c r="M28" s="66">
        <v>195</v>
      </c>
      <c r="N28" s="66">
        <v>265</v>
      </c>
      <c r="O28" s="66">
        <v>324</v>
      </c>
      <c r="P28" s="66">
        <v>383</v>
      </c>
      <c r="Q28" s="66">
        <v>383</v>
      </c>
      <c r="R28" s="66">
        <v>12</v>
      </c>
      <c r="S28" s="66">
        <v>47</v>
      </c>
    </row>
    <row r="29" spans="1:19" ht="15.75" customHeight="1">
      <c r="A29" s="10"/>
      <c r="B29" s="10" t="s">
        <v>28</v>
      </c>
      <c r="C29" s="10" t="s">
        <v>62</v>
      </c>
      <c r="D29" s="10" t="s">
        <v>36</v>
      </c>
      <c r="E29" s="10"/>
      <c r="F29" s="10"/>
      <c r="G29" s="10"/>
      <c r="H29" s="10" t="s">
        <v>362</v>
      </c>
      <c r="I29" s="66">
        <v>107</v>
      </c>
      <c r="J29" s="65">
        <v>112</v>
      </c>
      <c r="K29" s="65">
        <v>116</v>
      </c>
      <c r="L29" s="65">
        <v>121</v>
      </c>
      <c r="M29" s="65">
        <v>255</v>
      </c>
      <c r="N29" s="66">
        <v>383</v>
      </c>
      <c r="O29" s="66">
        <v>504</v>
      </c>
      <c r="P29" s="65">
        <v>618</v>
      </c>
      <c r="Q29" s="65">
        <v>618</v>
      </c>
      <c r="R29" s="66">
        <v>30</v>
      </c>
      <c r="S29" s="66">
        <v>65</v>
      </c>
    </row>
    <row r="30" spans="1:19" ht="15.75" customHeight="1">
      <c r="A30" s="10"/>
      <c r="B30" s="10" t="s">
        <v>28</v>
      </c>
      <c r="C30" s="10" t="s">
        <v>65</v>
      </c>
      <c r="D30" s="10" t="s">
        <v>30</v>
      </c>
      <c r="E30" s="10"/>
      <c r="F30" s="10"/>
      <c r="G30" s="10"/>
      <c r="H30" s="10" t="s">
        <v>363</v>
      </c>
      <c r="I30" s="66">
        <v>71</v>
      </c>
      <c r="J30" s="66">
        <v>76</v>
      </c>
      <c r="K30" s="66">
        <v>80</v>
      </c>
      <c r="L30" s="66">
        <v>85</v>
      </c>
      <c r="M30" s="66">
        <v>195</v>
      </c>
      <c r="N30" s="66">
        <v>265</v>
      </c>
      <c r="O30" s="66">
        <v>324</v>
      </c>
      <c r="P30" s="66">
        <v>383</v>
      </c>
      <c r="Q30" s="65">
        <v>383</v>
      </c>
      <c r="R30" s="66">
        <v>12</v>
      </c>
      <c r="S30" s="66">
        <v>47</v>
      </c>
    </row>
    <row r="31" spans="1:19" ht="15.75" customHeight="1">
      <c r="A31" s="10"/>
      <c r="B31" s="10" t="s">
        <v>28</v>
      </c>
      <c r="C31" s="10" t="s">
        <v>65</v>
      </c>
      <c r="D31" s="10" t="s">
        <v>36</v>
      </c>
      <c r="E31" s="10"/>
      <c r="F31" s="10"/>
      <c r="G31" s="10"/>
      <c r="H31" s="10" t="s">
        <v>364</v>
      </c>
      <c r="I31" s="66">
        <v>107</v>
      </c>
      <c r="J31" s="65">
        <v>112</v>
      </c>
      <c r="K31" s="65">
        <v>116</v>
      </c>
      <c r="L31" s="65">
        <v>121</v>
      </c>
      <c r="M31" s="65">
        <v>255</v>
      </c>
      <c r="N31" s="66">
        <v>383</v>
      </c>
      <c r="O31" s="66">
        <v>474</v>
      </c>
      <c r="P31" s="65">
        <v>589</v>
      </c>
      <c r="Q31" s="65">
        <v>589</v>
      </c>
      <c r="R31" s="66">
        <v>30</v>
      </c>
      <c r="S31" s="66">
        <v>65</v>
      </c>
    </row>
    <row r="32" spans="1:19" ht="15.75" customHeight="1">
      <c r="A32" s="10"/>
      <c r="B32" s="10" t="s">
        <v>28</v>
      </c>
      <c r="C32" s="10" t="s">
        <v>68</v>
      </c>
      <c r="D32" s="10" t="s">
        <v>30</v>
      </c>
      <c r="E32" s="10"/>
      <c r="F32" s="10"/>
      <c r="G32" s="10"/>
      <c r="H32" s="10" t="s">
        <v>365</v>
      </c>
      <c r="I32" s="66">
        <v>71</v>
      </c>
      <c r="J32" s="66">
        <v>76</v>
      </c>
      <c r="K32" s="66">
        <v>80</v>
      </c>
      <c r="L32" s="66">
        <v>85</v>
      </c>
      <c r="M32" s="66">
        <v>195</v>
      </c>
      <c r="N32" s="66">
        <v>265</v>
      </c>
      <c r="O32" s="66">
        <v>324</v>
      </c>
      <c r="P32" s="66">
        <v>354</v>
      </c>
      <c r="Q32" s="65">
        <v>354</v>
      </c>
      <c r="R32" s="66">
        <v>12</v>
      </c>
      <c r="S32" s="66">
        <v>47</v>
      </c>
    </row>
    <row r="33" spans="1:19" ht="15.75" customHeight="1">
      <c r="A33" s="10"/>
      <c r="B33" s="10" t="s">
        <v>28</v>
      </c>
      <c r="C33" s="10" t="s">
        <v>68</v>
      </c>
      <c r="D33" s="10" t="s">
        <v>36</v>
      </c>
      <c r="E33" s="10"/>
      <c r="F33" s="10"/>
      <c r="G33" s="10"/>
      <c r="H33" s="10" t="s">
        <v>366</v>
      </c>
      <c r="I33" s="66">
        <v>107</v>
      </c>
      <c r="J33" s="65">
        <v>112</v>
      </c>
      <c r="K33" s="65">
        <v>116</v>
      </c>
      <c r="L33" s="65">
        <v>121</v>
      </c>
      <c r="M33" s="65">
        <v>255</v>
      </c>
      <c r="N33" s="66">
        <v>353</v>
      </c>
      <c r="O33" s="66">
        <v>150</v>
      </c>
      <c r="P33" s="65">
        <v>560</v>
      </c>
      <c r="Q33" s="65">
        <v>560</v>
      </c>
      <c r="R33" s="66">
        <v>30</v>
      </c>
      <c r="S33" s="66">
        <v>65</v>
      </c>
    </row>
    <row r="34" spans="1:19" ht="15.75" customHeight="1">
      <c r="A34" s="10"/>
      <c r="B34" s="10"/>
      <c r="C34" s="10"/>
      <c r="D34" s="10"/>
      <c r="E34" s="10"/>
      <c r="F34" s="10"/>
      <c r="G34" s="10"/>
      <c r="H34" s="10"/>
      <c r="I34" s="10"/>
      <c r="J34" s="10"/>
      <c r="K34" s="10"/>
      <c r="L34" s="10"/>
      <c r="M34" s="10"/>
      <c r="N34" s="10"/>
      <c r="O34" s="10"/>
      <c r="P34" s="10"/>
      <c r="Q34" s="10"/>
      <c r="R34" s="10"/>
      <c r="S34" s="10"/>
    </row>
    <row r="35" spans="1:19" ht="15.75" customHeight="1">
      <c r="A35" s="10"/>
      <c r="B35" s="10" t="s">
        <v>28</v>
      </c>
      <c r="C35" s="10" t="s">
        <v>367</v>
      </c>
      <c r="D35" s="10" t="s">
        <v>30</v>
      </c>
      <c r="E35" s="10"/>
      <c r="F35" s="10"/>
      <c r="G35" s="10"/>
      <c r="H35" s="10" t="s">
        <v>571</v>
      </c>
      <c r="I35" s="66">
        <v>77</v>
      </c>
      <c r="J35" s="66">
        <v>83</v>
      </c>
      <c r="K35" s="66">
        <v>101</v>
      </c>
      <c r="L35" s="66">
        <v>112</v>
      </c>
      <c r="M35" s="66">
        <v>300</v>
      </c>
      <c r="N35" s="66">
        <v>207</v>
      </c>
      <c r="O35" s="66">
        <v>412</v>
      </c>
      <c r="P35" s="66">
        <v>471</v>
      </c>
      <c r="Q35" s="66">
        <v>471</v>
      </c>
      <c r="R35" s="66">
        <v>12</v>
      </c>
      <c r="S35" s="66">
        <v>47</v>
      </c>
    </row>
    <row r="36" spans="1:19" ht="15.75" customHeight="1">
      <c r="A36" s="10"/>
      <c r="B36" s="10" t="s">
        <v>28</v>
      </c>
      <c r="C36" s="10" t="s">
        <v>76</v>
      </c>
      <c r="D36" s="10" t="s">
        <v>30</v>
      </c>
      <c r="E36" s="10"/>
      <c r="F36" s="10"/>
      <c r="G36" s="10"/>
      <c r="H36" s="10" t="s">
        <v>572</v>
      </c>
      <c r="I36" s="66">
        <v>77</v>
      </c>
      <c r="J36" s="66">
        <v>83</v>
      </c>
      <c r="K36" s="66">
        <v>101</v>
      </c>
      <c r="L36" s="66">
        <v>112</v>
      </c>
      <c r="M36" s="66">
        <v>265</v>
      </c>
      <c r="N36" s="66">
        <v>354</v>
      </c>
      <c r="O36" s="66">
        <v>412</v>
      </c>
      <c r="P36" s="66">
        <v>471</v>
      </c>
      <c r="Q36" s="65">
        <v>471</v>
      </c>
      <c r="R36" s="66">
        <v>12</v>
      </c>
      <c r="S36" s="66">
        <v>47</v>
      </c>
    </row>
    <row r="37" spans="1:19" ht="15.75" customHeight="1">
      <c r="A37" s="10"/>
      <c r="B37" s="10" t="s">
        <v>28</v>
      </c>
      <c r="C37" s="10" t="s">
        <v>76</v>
      </c>
      <c r="D37" s="10" t="s">
        <v>36</v>
      </c>
      <c r="E37" s="10"/>
      <c r="F37" s="10"/>
      <c r="G37" s="10"/>
      <c r="H37" s="10" t="s">
        <v>573</v>
      </c>
      <c r="I37" s="66">
        <v>113</v>
      </c>
      <c r="J37" s="65">
        <v>119</v>
      </c>
      <c r="K37" s="65">
        <v>137</v>
      </c>
      <c r="L37" s="65">
        <v>148</v>
      </c>
      <c r="M37" s="65">
        <v>325</v>
      </c>
      <c r="N37" s="66">
        <v>442</v>
      </c>
      <c r="O37" s="66">
        <v>709</v>
      </c>
      <c r="P37" s="65">
        <v>677</v>
      </c>
      <c r="Q37" s="65">
        <v>677</v>
      </c>
      <c r="R37" s="66">
        <v>30</v>
      </c>
      <c r="S37" s="66">
        <v>65</v>
      </c>
    </row>
    <row r="38" spans="1:19" ht="15.75" customHeight="1">
      <c r="A38" s="10"/>
      <c r="B38" s="10" t="s">
        <v>28</v>
      </c>
      <c r="C38" s="10" t="s">
        <v>78</v>
      </c>
      <c r="D38" s="10" t="s">
        <v>30</v>
      </c>
      <c r="E38" s="10"/>
      <c r="F38" s="10"/>
      <c r="G38" s="10"/>
      <c r="H38" s="10" t="s">
        <v>574</v>
      </c>
      <c r="I38" s="66">
        <v>77</v>
      </c>
      <c r="J38" s="66">
        <v>83</v>
      </c>
      <c r="K38" s="66">
        <v>101</v>
      </c>
      <c r="L38" s="66">
        <v>112</v>
      </c>
      <c r="M38" s="66">
        <v>265</v>
      </c>
      <c r="N38" s="66">
        <v>354</v>
      </c>
      <c r="O38" s="66">
        <v>412</v>
      </c>
      <c r="P38" s="66">
        <v>471</v>
      </c>
      <c r="Q38" s="66">
        <v>471</v>
      </c>
      <c r="R38" s="66">
        <v>12</v>
      </c>
      <c r="S38" s="66">
        <v>47</v>
      </c>
    </row>
    <row r="39" spans="1:19" ht="15.75" customHeight="1">
      <c r="A39" s="10"/>
      <c r="B39" s="10" t="s">
        <v>28</v>
      </c>
      <c r="C39" s="10" t="s">
        <v>78</v>
      </c>
      <c r="D39" s="10" t="s">
        <v>36</v>
      </c>
      <c r="E39" s="10"/>
      <c r="F39" s="10"/>
      <c r="G39" s="10"/>
      <c r="H39" s="10" t="s">
        <v>575</v>
      </c>
      <c r="I39" s="66">
        <v>113</v>
      </c>
      <c r="J39" s="65">
        <v>119</v>
      </c>
      <c r="K39" s="65">
        <v>137</v>
      </c>
      <c r="L39" s="65">
        <v>148</v>
      </c>
      <c r="M39" s="65">
        <v>325</v>
      </c>
      <c r="N39" s="66">
        <v>442</v>
      </c>
      <c r="O39" s="66">
        <v>709</v>
      </c>
      <c r="P39" s="65">
        <v>677</v>
      </c>
      <c r="Q39" s="65">
        <v>677</v>
      </c>
      <c r="R39" s="66">
        <v>30</v>
      </c>
      <c r="S39" s="66">
        <v>65</v>
      </c>
    </row>
    <row r="40" spans="1:19" ht="15.75" customHeight="1">
      <c r="A40" s="10"/>
      <c r="B40" s="10" t="s">
        <v>28</v>
      </c>
      <c r="C40" s="10" t="s">
        <v>81</v>
      </c>
      <c r="D40" s="10" t="s">
        <v>30</v>
      </c>
      <c r="E40" s="10"/>
      <c r="F40" s="10"/>
      <c r="G40" s="10"/>
      <c r="H40" s="10" t="s">
        <v>373</v>
      </c>
      <c r="I40" s="66">
        <v>77</v>
      </c>
      <c r="J40" s="66">
        <v>83</v>
      </c>
      <c r="K40" s="66">
        <v>101</v>
      </c>
      <c r="L40" s="66">
        <v>112</v>
      </c>
      <c r="M40" s="66">
        <v>295</v>
      </c>
      <c r="N40" s="66">
        <v>383</v>
      </c>
      <c r="O40" s="66">
        <v>442</v>
      </c>
      <c r="P40" s="66">
        <v>500</v>
      </c>
      <c r="Q40" s="65">
        <v>500</v>
      </c>
      <c r="R40" s="66">
        <v>12</v>
      </c>
      <c r="S40" s="66">
        <v>47</v>
      </c>
    </row>
    <row r="41" spans="1:19" ht="15.75" customHeight="1">
      <c r="A41" s="10"/>
      <c r="B41" s="10" t="s">
        <v>28</v>
      </c>
      <c r="C41" s="10" t="s">
        <v>81</v>
      </c>
      <c r="D41" s="10" t="s">
        <v>36</v>
      </c>
      <c r="E41" s="10"/>
      <c r="F41" s="10"/>
      <c r="G41" s="10"/>
      <c r="H41" s="10" t="s">
        <v>374</v>
      </c>
      <c r="I41" s="66">
        <v>113</v>
      </c>
      <c r="J41" s="65">
        <v>119</v>
      </c>
      <c r="K41" s="65">
        <v>137</v>
      </c>
      <c r="L41" s="65">
        <v>148</v>
      </c>
      <c r="M41" s="65">
        <v>355</v>
      </c>
      <c r="N41" s="66">
        <v>471</v>
      </c>
      <c r="O41" s="66">
        <v>768</v>
      </c>
      <c r="P41" s="65">
        <v>706</v>
      </c>
      <c r="Q41" s="65">
        <v>706</v>
      </c>
      <c r="R41" s="66">
        <v>30</v>
      </c>
      <c r="S41" s="66">
        <v>65</v>
      </c>
    </row>
    <row r="42" spans="1:19" ht="15.75" customHeight="1">
      <c r="A42" s="10"/>
      <c r="B42" s="10" t="s">
        <v>28</v>
      </c>
      <c r="C42" s="10" t="s">
        <v>84</v>
      </c>
      <c r="D42" s="10" t="s">
        <v>30</v>
      </c>
      <c r="E42" s="10"/>
      <c r="F42" s="10"/>
      <c r="G42" s="10"/>
      <c r="H42" s="10" t="s">
        <v>375</v>
      </c>
      <c r="I42" s="66">
        <v>77</v>
      </c>
      <c r="J42" s="66">
        <v>83</v>
      </c>
      <c r="K42" s="66">
        <v>101</v>
      </c>
      <c r="L42" s="66">
        <v>112</v>
      </c>
      <c r="M42" s="66">
        <v>295</v>
      </c>
      <c r="N42" s="66">
        <v>383</v>
      </c>
      <c r="O42" s="66">
        <v>442</v>
      </c>
      <c r="P42" s="66">
        <v>500</v>
      </c>
      <c r="Q42" s="65">
        <v>500</v>
      </c>
      <c r="R42" s="66">
        <v>12</v>
      </c>
      <c r="S42" s="66">
        <v>47</v>
      </c>
    </row>
    <row r="43" spans="1:19" ht="15.75" customHeight="1">
      <c r="A43" s="10"/>
      <c r="B43" s="10" t="s">
        <v>28</v>
      </c>
      <c r="C43" s="10" t="s">
        <v>84</v>
      </c>
      <c r="D43" s="10" t="s">
        <v>36</v>
      </c>
      <c r="E43" s="10"/>
      <c r="F43" s="10"/>
      <c r="G43" s="10"/>
      <c r="H43" s="10" t="s">
        <v>376</v>
      </c>
      <c r="I43" s="66">
        <v>113</v>
      </c>
      <c r="J43" s="65">
        <v>119</v>
      </c>
      <c r="K43" s="65">
        <v>137</v>
      </c>
      <c r="L43" s="65">
        <v>148</v>
      </c>
      <c r="M43" s="65">
        <v>355</v>
      </c>
      <c r="N43" s="66">
        <v>471</v>
      </c>
      <c r="O43" s="66">
        <v>768</v>
      </c>
      <c r="P43" s="65">
        <v>706</v>
      </c>
      <c r="Q43" s="65">
        <v>706</v>
      </c>
      <c r="R43" s="66">
        <v>30</v>
      </c>
      <c r="S43" s="66">
        <v>65</v>
      </c>
    </row>
    <row r="44" spans="1:19" ht="15.75" customHeight="1">
      <c r="A44" s="10"/>
      <c r="B44" s="10"/>
      <c r="C44" s="10"/>
      <c r="D44" s="10"/>
      <c r="E44" s="10"/>
      <c r="F44" s="10"/>
      <c r="G44" s="10"/>
      <c r="H44" s="10"/>
      <c r="I44" s="10"/>
      <c r="J44" s="10"/>
      <c r="K44" s="10"/>
      <c r="L44" s="10"/>
      <c r="M44" s="10"/>
      <c r="N44" s="10"/>
      <c r="O44" s="10"/>
      <c r="P44" s="10"/>
      <c r="Q44" s="10"/>
      <c r="R44" s="10"/>
      <c r="S44" s="10"/>
    </row>
    <row r="45" spans="1:19" ht="15.75" customHeight="1">
      <c r="A45" s="10"/>
      <c r="B45" s="10" t="s">
        <v>50</v>
      </c>
      <c r="C45" s="10" t="s">
        <v>53</v>
      </c>
      <c r="D45" s="10" t="s">
        <v>30</v>
      </c>
      <c r="E45" s="10"/>
      <c r="F45" s="10"/>
      <c r="G45" s="10"/>
      <c r="H45" s="10" t="s">
        <v>377</v>
      </c>
      <c r="I45" s="66">
        <v>30</v>
      </c>
      <c r="J45" s="66">
        <v>36</v>
      </c>
      <c r="K45" s="66">
        <v>47</v>
      </c>
      <c r="L45" s="66">
        <v>59</v>
      </c>
      <c r="M45" s="66">
        <v>100</v>
      </c>
      <c r="N45" s="66">
        <v>120</v>
      </c>
      <c r="O45" s="66">
        <v>120</v>
      </c>
      <c r="P45" s="66">
        <v>200</v>
      </c>
      <c r="Q45" s="66">
        <v>200</v>
      </c>
      <c r="R45" s="66">
        <v>12</v>
      </c>
      <c r="S45" s="66">
        <v>47</v>
      </c>
    </row>
    <row r="46" spans="1:19" ht="15.75" customHeight="1">
      <c r="A46" s="10"/>
      <c r="B46" s="10" t="s">
        <v>50</v>
      </c>
      <c r="C46" s="10" t="s">
        <v>76</v>
      </c>
      <c r="D46" s="10" t="s">
        <v>30</v>
      </c>
      <c r="E46" s="10"/>
      <c r="F46" s="10"/>
      <c r="G46" s="10"/>
      <c r="H46" s="10" t="s">
        <v>576</v>
      </c>
      <c r="I46" s="66">
        <v>30</v>
      </c>
      <c r="J46" s="66">
        <v>36</v>
      </c>
      <c r="K46" s="66">
        <v>47</v>
      </c>
      <c r="L46" s="66">
        <v>59</v>
      </c>
      <c r="M46" s="66">
        <v>100</v>
      </c>
      <c r="N46" s="66">
        <v>120</v>
      </c>
      <c r="O46" s="66">
        <v>147</v>
      </c>
      <c r="P46" s="66">
        <v>177</v>
      </c>
      <c r="Q46" s="66">
        <v>177</v>
      </c>
      <c r="R46" s="66">
        <v>12</v>
      </c>
      <c r="S46" s="66">
        <v>47</v>
      </c>
    </row>
    <row r="47" spans="1:19" ht="15.75" customHeight="1">
      <c r="A47" s="10"/>
      <c r="B47" s="10" t="s">
        <v>28</v>
      </c>
      <c r="C47" s="10" t="s">
        <v>379</v>
      </c>
      <c r="D47" s="10" t="s">
        <v>30</v>
      </c>
      <c r="E47" s="10"/>
      <c r="F47" s="10"/>
      <c r="G47" s="10"/>
      <c r="H47" s="10" t="s">
        <v>380</v>
      </c>
      <c r="I47" s="66">
        <v>30</v>
      </c>
      <c r="J47" s="66">
        <v>36</v>
      </c>
      <c r="K47" s="66">
        <v>47</v>
      </c>
      <c r="L47" s="66">
        <v>59</v>
      </c>
      <c r="M47" s="66">
        <v>165</v>
      </c>
      <c r="N47" s="66">
        <v>236</v>
      </c>
      <c r="O47" s="66">
        <v>295</v>
      </c>
      <c r="P47" s="66">
        <v>354</v>
      </c>
      <c r="Q47" s="66">
        <v>354</v>
      </c>
      <c r="R47" s="66">
        <v>12</v>
      </c>
      <c r="S47" s="66">
        <v>47</v>
      </c>
    </row>
    <row r="48" spans="1:19" ht="15.75" customHeight="1">
      <c r="A48" s="10"/>
      <c r="B48" s="10" t="s">
        <v>28</v>
      </c>
      <c r="C48" s="10" t="s">
        <v>91</v>
      </c>
      <c r="D48" s="10" t="s">
        <v>30</v>
      </c>
      <c r="E48" s="10"/>
      <c r="F48" s="10"/>
      <c r="G48" s="10"/>
      <c r="H48" s="10" t="s">
        <v>381</v>
      </c>
      <c r="I48" s="66">
        <v>65</v>
      </c>
      <c r="J48" s="66">
        <v>71</v>
      </c>
      <c r="K48" s="66">
        <v>112</v>
      </c>
      <c r="L48" s="66">
        <v>124</v>
      </c>
      <c r="M48" s="66">
        <v>324</v>
      </c>
      <c r="N48" s="66">
        <v>412</v>
      </c>
      <c r="O48" s="66">
        <v>471</v>
      </c>
      <c r="P48" s="66">
        <v>530</v>
      </c>
      <c r="Q48" s="66">
        <v>530</v>
      </c>
      <c r="R48" s="66">
        <v>12</v>
      </c>
      <c r="S48" s="66">
        <v>47</v>
      </c>
    </row>
    <row r="49" spans="1:19" ht="15.75" customHeight="1">
      <c r="A49" s="10"/>
      <c r="B49" s="10" t="s">
        <v>28</v>
      </c>
      <c r="C49" s="10" t="s">
        <v>94</v>
      </c>
      <c r="D49" s="10" t="s">
        <v>30</v>
      </c>
      <c r="E49" s="10"/>
      <c r="F49" s="10"/>
      <c r="G49" s="10"/>
      <c r="H49" s="10" t="s">
        <v>382</v>
      </c>
      <c r="I49" s="66">
        <v>89</v>
      </c>
      <c r="J49" s="66">
        <v>95</v>
      </c>
      <c r="K49" s="66">
        <v>112</v>
      </c>
      <c r="L49" s="66">
        <v>124</v>
      </c>
      <c r="M49" s="66">
        <v>324</v>
      </c>
      <c r="N49" s="66">
        <v>412</v>
      </c>
      <c r="O49" s="66">
        <v>471</v>
      </c>
      <c r="P49" s="66">
        <v>530</v>
      </c>
      <c r="Q49" s="66">
        <v>530</v>
      </c>
      <c r="R49" s="66">
        <v>12</v>
      </c>
      <c r="S49" s="66">
        <v>47</v>
      </c>
    </row>
    <row r="50" spans="1:19" ht="15.75" customHeight="1">
      <c r="A50" s="10"/>
      <c r="B50" s="10" t="s">
        <v>50</v>
      </c>
      <c r="C50" s="10" t="s">
        <v>97</v>
      </c>
      <c r="D50" s="10" t="s">
        <v>30</v>
      </c>
      <c r="E50" s="10"/>
      <c r="F50" s="10"/>
      <c r="G50" s="10"/>
      <c r="H50" s="10" t="s">
        <v>577</v>
      </c>
      <c r="I50" s="66">
        <v>71</v>
      </c>
      <c r="J50" s="66">
        <v>77</v>
      </c>
      <c r="K50" s="66">
        <v>89</v>
      </c>
      <c r="L50" s="66">
        <v>101</v>
      </c>
      <c r="M50" s="66">
        <v>147</v>
      </c>
      <c r="N50" s="66">
        <v>165</v>
      </c>
      <c r="O50" s="66">
        <v>177</v>
      </c>
      <c r="P50" s="66">
        <v>206</v>
      </c>
      <c r="Q50" s="66">
        <v>206</v>
      </c>
      <c r="R50" s="66">
        <v>12</v>
      </c>
      <c r="S50" s="66">
        <v>47</v>
      </c>
    </row>
    <row r="51" spans="1:19" ht="15.75" customHeight="1">
      <c r="A51" s="10"/>
      <c r="B51" s="10" t="s">
        <v>76</v>
      </c>
      <c r="C51" s="10" t="s">
        <v>78</v>
      </c>
      <c r="D51" s="10" t="s">
        <v>30</v>
      </c>
      <c r="E51" s="10"/>
      <c r="F51" s="10"/>
      <c r="G51" s="10"/>
      <c r="H51" s="10" t="s">
        <v>578</v>
      </c>
      <c r="I51" s="66">
        <v>59</v>
      </c>
      <c r="J51" s="66">
        <v>65</v>
      </c>
      <c r="K51" s="66">
        <v>71</v>
      </c>
      <c r="L51" s="66">
        <v>83</v>
      </c>
      <c r="M51" s="66">
        <v>118</v>
      </c>
      <c r="N51" s="66">
        <v>130</v>
      </c>
      <c r="O51" s="66">
        <v>147</v>
      </c>
      <c r="P51" s="66">
        <v>177</v>
      </c>
      <c r="Q51" s="66">
        <v>177</v>
      </c>
      <c r="R51" s="66">
        <v>12</v>
      </c>
      <c r="S51" s="66">
        <v>47</v>
      </c>
    </row>
    <row r="52" spans="1:19" ht="15.75" customHeight="1">
      <c r="A52" s="10"/>
      <c r="B52" s="10" t="s">
        <v>76</v>
      </c>
      <c r="C52" s="10" t="s">
        <v>94</v>
      </c>
      <c r="D52" s="10" t="s">
        <v>30</v>
      </c>
      <c r="E52" s="10"/>
      <c r="F52" s="10"/>
      <c r="G52" s="10"/>
      <c r="H52" s="10" t="s">
        <v>385</v>
      </c>
      <c r="I52" s="66">
        <v>36</v>
      </c>
      <c r="J52" s="66">
        <v>44</v>
      </c>
      <c r="K52" s="66">
        <v>71</v>
      </c>
      <c r="L52" s="66">
        <v>83</v>
      </c>
      <c r="M52" s="66">
        <v>100</v>
      </c>
      <c r="N52" s="66">
        <v>147</v>
      </c>
      <c r="O52" s="66">
        <v>177</v>
      </c>
      <c r="P52" s="66">
        <v>177</v>
      </c>
      <c r="Q52" s="66">
        <v>177</v>
      </c>
      <c r="R52" s="66">
        <v>12</v>
      </c>
      <c r="S52" s="66">
        <v>47</v>
      </c>
    </row>
    <row r="53" spans="1:19" ht="15.75" customHeight="1">
      <c r="A53" s="10"/>
      <c r="B53" s="10"/>
      <c r="C53" s="10"/>
      <c r="D53" s="10"/>
      <c r="E53" s="10"/>
      <c r="F53" s="10"/>
      <c r="G53" s="10"/>
      <c r="H53" s="10"/>
      <c r="I53" s="10"/>
      <c r="J53" s="10"/>
      <c r="K53" s="10"/>
      <c r="L53" s="10"/>
      <c r="M53" s="10"/>
      <c r="N53" s="10"/>
      <c r="O53" s="10"/>
      <c r="P53" s="10"/>
      <c r="Q53" s="10"/>
      <c r="R53" s="10"/>
      <c r="S53" s="10"/>
    </row>
    <row r="54" spans="1:19" ht="15.75" customHeight="1">
      <c r="A54" s="10"/>
      <c r="B54" s="10" t="s">
        <v>22</v>
      </c>
      <c r="C54" s="10" t="s">
        <v>100</v>
      </c>
      <c r="D54" s="72" t="s">
        <v>339</v>
      </c>
      <c r="E54" s="73"/>
      <c r="F54" s="10"/>
      <c r="G54" s="10"/>
      <c r="H54" s="10" t="s">
        <v>579</v>
      </c>
      <c r="I54" s="66">
        <v>41</v>
      </c>
      <c r="J54" s="66">
        <v>47</v>
      </c>
      <c r="K54" s="66">
        <v>47</v>
      </c>
      <c r="L54" s="66">
        <v>59</v>
      </c>
      <c r="M54" s="66">
        <v>130</v>
      </c>
      <c r="N54" s="66">
        <v>147</v>
      </c>
      <c r="O54" s="66">
        <v>177</v>
      </c>
      <c r="P54" s="66">
        <v>206</v>
      </c>
      <c r="Q54" s="66">
        <v>206</v>
      </c>
      <c r="R54" s="66">
        <v>12</v>
      </c>
      <c r="S54" s="66">
        <v>47</v>
      </c>
    </row>
    <row r="55" spans="1:19" ht="15.75" customHeight="1">
      <c r="A55" s="10"/>
      <c r="B55" s="10" t="s">
        <v>22</v>
      </c>
      <c r="C55" s="10" t="s">
        <v>103</v>
      </c>
      <c r="D55" s="72" t="s">
        <v>339</v>
      </c>
      <c r="E55" s="73"/>
      <c r="F55" s="10"/>
      <c r="G55" s="10"/>
      <c r="H55" s="10" t="s">
        <v>580</v>
      </c>
      <c r="I55" s="66">
        <v>41</v>
      </c>
      <c r="J55" s="66">
        <v>47</v>
      </c>
      <c r="K55" s="66">
        <v>47</v>
      </c>
      <c r="L55" s="66">
        <v>59</v>
      </c>
      <c r="M55" s="66">
        <v>130</v>
      </c>
      <c r="N55" s="66">
        <v>147</v>
      </c>
      <c r="O55" s="66">
        <v>177</v>
      </c>
      <c r="P55" s="66">
        <v>206</v>
      </c>
      <c r="Q55" s="66">
        <v>206</v>
      </c>
      <c r="R55" s="66">
        <v>12</v>
      </c>
      <c r="S55" s="66">
        <v>47</v>
      </c>
    </row>
    <row r="56" spans="1:19" ht="15.75" customHeight="1">
      <c r="A56" s="10"/>
      <c r="B56" s="10" t="s">
        <v>22</v>
      </c>
      <c r="C56" s="10" t="s">
        <v>105</v>
      </c>
      <c r="D56" s="72" t="s">
        <v>339</v>
      </c>
      <c r="E56" s="73"/>
      <c r="F56" s="10"/>
      <c r="G56" s="10"/>
      <c r="H56" s="10" t="s">
        <v>483</v>
      </c>
      <c r="I56" s="66">
        <v>41</v>
      </c>
      <c r="J56" s="66">
        <v>47</v>
      </c>
      <c r="K56" s="66">
        <v>47</v>
      </c>
      <c r="L56" s="66">
        <v>59</v>
      </c>
      <c r="M56" s="66">
        <v>130</v>
      </c>
      <c r="N56" s="66">
        <v>147</v>
      </c>
      <c r="O56" s="66">
        <v>177</v>
      </c>
      <c r="P56" s="66">
        <v>206</v>
      </c>
      <c r="Q56" s="66">
        <v>206</v>
      </c>
      <c r="R56" s="66">
        <v>12</v>
      </c>
      <c r="S56" s="66">
        <v>47</v>
      </c>
    </row>
    <row r="57" spans="1:19" ht="15.75" customHeight="1">
      <c r="A57" s="10"/>
      <c r="B57" s="10" t="s">
        <v>22</v>
      </c>
      <c r="C57" s="10" t="s">
        <v>107</v>
      </c>
      <c r="D57" s="72" t="s">
        <v>339</v>
      </c>
      <c r="E57" s="73"/>
      <c r="F57" s="10"/>
      <c r="G57" s="10"/>
      <c r="H57" s="10" t="s">
        <v>484</v>
      </c>
      <c r="I57" s="66">
        <v>41</v>
      </c>
      <c r="J57" s="66">
        <v>47</v>
      </c>
      <c r="K57" s="66">
        <v>47</v>
      </c>
      <c r="L57" s="66">
        <v>59</v>
      </c>
      <c r="M57" s="66">
        <v>130</v>
      </c>
      <c r="N57" s="66">
        <v>147</v>
      </c>
      <c r="O57" s="66">
        <v>177</v>
      </c>
      <c r="P57" s="66">
        <v>206</v>
      </c>
      <c r="Q57" s="66">
        <v>206</v>
      </c>
      <c r="R57" s="66">
        <v>12</v>
      </c>
      <c r="S57" s="66">
        <v>47</v>
      </c>
    </row>
    <row r="58" spans="1:19" ht="15.75" customHeight="1">
      <c r="A58" s="10"/>
      <c r="B58" s="10" t="s">
        <v>22</v>
      </c>
      <c r="C58" s="10" t="s">
        <v>109</v>
      </c>
      <c r="D58" s="72" t="s">
        <v>339</v>
      </c>
      <c r="E58" s="73"/>
      <c r="F58" s="10"/>
      <c r="G58" s="10"/>
      <c r="H58" s="10" t="s">
        <v>581</v>
      </c>
      <c r="I58" s="66">
        <v>41</v>
      </c>
      <c r="J58" s="66">
        <v>47</v>
      </c>
      <c r="K58" s="66">
        <v>47</v>
      </c>
      <c r="L58" s="66">
        <v>59</v>
      </c>
      <c r="M58" s="66">
        <v>130</v>
      </c>
      <c r="N58" s="66">
        <v>147</v>
      </c>
      <c r="O58" s="66">
        <v>177</v>
      </c>
      <c r="P58" s="66">
        <v>206</v>
      </c>
      <c r="Q58" s="66">
        <v>206</v>
      </c>
      <c r="R58" s="66">
        <v>12</v>
      </c>
      <c r="S58" s="66">
        <v>47</v>
      </c>
    </row>
    <row r="59" spans="1:19" ht="15.75" customHeight="1">
      <c r="A59" s="10"/>
      <c r="B59" s="10" t="s">
        <v>22</v>
      </c>
      <c r="C59" s="10" t="s">
        <v>111</v>
      </c>
      <c r="D59" s="72" t="s">
        <v>339</v>
      </c>
      <c r="E59" s="73"/>
      <c r="F59" s="10"/>
      <c r="G59" s="10"/>
      <c r="H59" s="10" t="s">
        <v>486</v>
      </c>
      <c r="I59" s="66">
        <v>36</v>
      </c>
      <c r="J59" s="66">
        <v>41</v>
      </c>
      <c r="K59" s="66">
        <v>47</v>
      </c>
      <c r="L59" s="66">
        <v>59</v>
      </c>
      <c r="M59" s="66">
        <v>189</v>
      </c>
      <c r="N59" s="66">
        <v>147</v>
      </c>
      <c r="O59" s="66">
        <v>177</v>
      </c>
      <c r="P59" s="66">
        <v>206</v>
      </c>
      <c r="Q59" s="66">
        <v>206</v>
      </c>
      <c r="R59" s="66">
        <v>12</v>
      </c>
      <c r="S59" s="66">
        <v>47</v>
      </c>
    </row>
    <row r="60" spans="1:19" ht="15.75" customHeight="1">
      <c r="A60" s="10"/>
      <c r="B60" s="10" t="s">
        <v>22</v>
      </c>
      <c r="C60" s="10" t="s">
        <v>113</v>
      </c>
      <c r="D60" s="72" t="s">
        <v>339</v>
      </c>
      <c r="E60" s="73"/>
      <c r="F60" s="10"/>
      <c r="G60" s="10"/>
      <c r="H60" s="10" t="s">
        <v>582</v>
      </c>
      <c r="I60" s="66">
        <v>41</v>
      </c>
      <c r="J60" s="66">
        <v>41</v>
      </c>
      <c r="K60" s="66">
        <v>47</v>
      </c>
      <c r="L60" s="66">
        <v>59</v>
      </c>
      <c r="M60" s="66">
        <v>153</v>
      </c>
      <c r="N60" s="66">
        <v>177</v>
      </c>
      <c r="O60" s="66">
        <v>206</v>
      </c>
      <c r="P60" s="66">
        <v>236</v>
      </c>
      <c r="Q60" s="66">
        <v>236</v>
      </c>
      <c r="R60" s="66">
        <v>12</v>
      </c>
      <c r="S60" s="66">
        <v>47</v>
      </c>
    </row>
    <row r="61" spans="1:19" ht="15.75" customHeight="1">
      <c r="A61" s="10"/>
      <c r="B61" s="10" t="s">
        <v>22</v>
      </c>
      <c r="C61" s="10" t="s">
        <v>115</v>
      </c>
      <c r="D61" s="72" t="s">
        <v>339</v>
      </c>
      <c r="E61" s="73"/>
      <c r="F61" s="10"/>
      <c r="G61" s="10"/>
      <c r="H61" s="10" t="s">
        <v>583</v>
      </c>
      <c r="I61" s="66">
        <v>41</v>
      </c>
      <c r="J61" s="66">
        <v>47</v>
      </c>
      <c r="K61" s="66">
        <v>47</v>
      </c>
      <c r="L61" s="66">
        <v>59</v>
      </c>
      <c r="M61" s="66">
        <v>130</v>
      </c>
      <c r="N61" s="66">
        <v>147</v>
      </c>
      <c r="O61" s="66">
        <v>177</v>
      </c>
      <c r="P61" s="66">
        <v>206</v>
      </c>
      <c r="Q61" s="66">
        <v>206</v>
      </c>
      <c r="R61" s="66">
        <v>12</v>
      </c>
      <c r="S61" s="66">
        <v>47</v>
      </c>
    </row>
    <row r="62" spans="1:19" ht="15.75" customHeight="1">
      <c r="A62" s="10"/>
      <c r="B62" s="10" t="s">
        <v>22</v>
      </c>
      <c r="C62" s="10" t="s">
        <v>117</v>
      </c>
      <c r="D62" s="72" t="s">
        <v>339</v>
      </c>
      <c r="E62" s="73"/>
      <c r="F62" s="10"/>
      <c r="G62" s="10"/>
      <c r="H62" s="10" t="s">
        <v>582</v>
      </c>
      <c r="I62" s="66">
        <v>41</v>
      </c>
      <c r="J62" s="66">
        <v>32</v>
      </c>
      <c r="K62" s="66">
        <v>29</v>
      </c>
      <c r="L62" s="66">
        <v>31</v>
      </c>
      <c r="M62" s="66">
        <v>130</v>
      </c>
      <c r="N62" s="66">
        <v>147</v>
      </c>
      <c r="O62" s="66">
        <v>177</v>
      </c>
      <c r="P62" s="66">
        <v>206</v>
      </c>
      <c r="Q62" s="66">
        <v>206</v>
      </c>
      <c r="R62" s="66">
        <v>12</v>
      </c>
      <c r="S62" s="66">
        <v>47</v>
      </c>
    </row>
    <row r="63" spans="1:19" ht="15.75" customHeight="1">
      <c r="A63" s="10"/>
      <c r="B63" s="10" t="s">
        <v>22</v>
      </c>
      <c r="C63" s="10" t="s">
        <v>119</v>
      </c>
      <c r="D63" s="72" t="s">
        <v>339</v>
      </c>
      <c r="E63" s="73"/>
      <c r="F63" s="10"/>
      <c r="G63" s="10"/>
      <c r="H63" s="10" t="s">
        <v>584</v>
      </c>
      <c r="I63" s="66">
        <v>41</v>
      </c>
      <c r="J63" s="66">
        <v>47</v>
      </c>
      <c r="K63" s="66">
        <v>47</v>
      </c>
      <c r="L63" s="66">
        <v>59</v>
      </c>
      <c r="M63" s="66">
        <v>130</v>
      </c>
      <c r="N63" s="66">
        <v>147</v>
      </c>
      <c r="O63" s="66">
        <v>177</v>
      </c>
      <c r="P63" s="66">
        <v>206</v>
      </c>
      <c r="Q63" s="66">
        <v>206</v>
      </c>
      <c r="R63" s="66">
        <v>12</v>
      </c>
      <c r="S63" s="66">
        <v>47</v>
      </c>
    </row>
    <row r="64" spans="1:19" ht="15.75" customHeight="1">
      <c r="A64" s="10"/>
      <c r="B64" s="10" t="s">
        <v>22</v>
      </c>
      <c r="C64" s="10" t="s">
        <v>121</v>
      </c>
      <c r="D64" s="72" t="s">
        <v>339</v>
      </c>
      <c r="E64" s="73"/>
      <c r="F64" s="10"/>
      <c r="G64" s="10"/>
      <c r="H64" s="10" t="s">
        <v>490</v>
      </c>
      <c r="I64" s="66">
        <v>41</v>
      </c>
      <c r="J64" s="66">
        <v>47</v>
      </c>
      <c r="K64" s="66">
        <v>47</v>
      </c>
      <c r="L64" s="66">
        <v>59</v>
      </c>
      <c r="M64" s="66">
        <v>130</v>
      </c>
      <c r="N64" s="66">
        <v>147</v>
      </c>
      <c r="O64" s="66">
        <v>177</v>
      </c>
      <c r="P64" s="66">
        <v>206</v>
      </c>
      <c r="Q64" s="66">
        <v>206</v>
      </c>
      <c r="R64" s="66">
        <v>12</v>
      </c>
      <c r="S64" s="66">
        <v>47</v>
      </c>
    </row>
    <row r="65" spans="1:19" ht="15.75" customHeight="1">
      <c r="A65" s="10"/>
      <c r="B65" s="10" t="s">
        <v>22</v>
      </c>
      <c r="C65" s="10" t="s">
        <v>123</v>
      </c>
      <c r="D65" s="72" t="s">
        <v>339</v>
      </c>
      <c r="E65" s="73"/>
      <c r="F65" s="10"/>
      <c r="G65" s="10"/>
      <c r="H65" s="10" t="s">
        <v>585</v>
      </c>
      <c r="I65" s="66">
        <v>41</v>
      </c>
      <c r="J65" s="66">
        <v>47</v>
      </c>
      <c r="K65" s="66">
        <v>47</v>
      </c>
      <c r="L65" s="66">
        <v>59</v>
      </c>
      <c r="M65" s="66">
        <v>130</v>
      </c>
      <c r="N65" s="66">
        <v>147</v>
      </c>
      <c r="O65" s="66">
        <v>177</v>
      </c>
      <c r="P65" s="66">
        <v>206</v>
      </c>
      <c r="Q65" s="66">
        <v>206</v>
      </c>
      <c r="R65" s="66">
        <v>12</v>
      </c>
      <c r="S65" s="66">
        <v>47</v>
      </c>
    </row>
    <row r="66" spans="1:19" ht="15.75" customHeight="1">
      <c r="A66" s="10"/>
      <c r="B66" s="10" t="s">
        <v>22</v>
      </c>
      <c r="C66" s="10" t="s">
        <v>125</v>
      </c>
      <c r="D66" s="72" t="s">
        <v>339</v>
      </c>
      <c r="E66" s="73"/>
      <c r="F66" s="10"/>
      <c r="G66" s="10"/>
      <c r="H66" s="10" t="s">
        <v>487</v>
      </c>
      <c r="I66" s="66">
        <v>41</v>
      </c>
      <c r="J66" s="66">
        <v>47</v>
      </c>
      <c r="K66" s="66">
        <v>47</v>
      </c>
      <c r="L66" s="66">
        <v>59</v>
      </c>
      <c r="M66" s="66">
        <v>130</v>
      </c>
      <c r="N66" s="66">
        <v>147</v>
      </c>
      <c r="O66" s="66">
        <v>177</v>
      </c>
      <c r="P66" s="66">
        <v>206</v>
      </c>
      <c r="Q66" s="66">
        <v>206</v>
      </c>
      <c r="R66" s="66">
        <v>12</v>
      </c>
      <c r="S66" s="66">
        <v>47</v>
      </c>
    </row>
    <row r="67" spans="1:19" ht="15.75" customHeight="1">
      <c r="A67" s="10"/>
      <c r="B67" s="10" t="s">
        <v>22</v>
      </c>
      <c r="C67" s="10" t="s">
        <v>127</v>
      </c>
      <c r="D67" s="72" t="s">
        <v>339</v>
      </c>
      <c r="E67" s="73"/>
      <c r="F67" s="10"/>
      <c r="G67" s="10"/>
      <c r="H67" s="10" t="s">
        <v>492</v>
      </c>
      <c r="I67" s="66">
        <v>41</v>
      </c>
      <c r="J67" s="66">
        <v>47</v>
      </c>
      <c r="K67" s="66">
        <v>47</v>
      </c>
      <c r="L67" s="66">
        <v>59</v>
      </c>
      <c r="M67" s="66">
        <v>118</v>
      </c>
      <c r="N67" s="66">
        <v>147</v>
      </c>
      <c r="O67" s="66">
        <v>177</v>
      </c>
      <c r="P67" s="66">
        <v>206</v>
      </c>
      <c r="Q67" s="66">
        <v>206</v>
      </c>
      <c r="R67" s="66">
        <v>12</v>
      </c>
      <c r="S67" s="66">
        <v>47</v>
      </c>
    </row>
    <row r="68" spans="1:19" ht="15.75" customHeight="1">
      <c r="A68" s="10"/>
      <c r="B68" s="10" t="s">
        <v>22</v>
      </c>
      <c r="C68" s="10" t="s">
        <v>129</v>
      </c>
      <c r="D68" s="72" t="s">
        <v>339</v>
      </c>
      <c r="E68" s="73"/>
      <c r="F68" s="10"/>
      <c r="G68" s="10"/>
      <c r="H68" s="10" t="s">
        <v>586</v>
      </c>
      <c r="I68" s="66">
        <v>41</v>
      </c>
      <c r="J68" s="66">
        <v>47</v>
      </c>
      <c r="K68" s="66">
        <v>47</v>
      </c>
      <c r="L68" s="66">
        <v>59</v>
      </c>
      <c r="M68" s="66">
        <v>118</v>
      </c>
      <c r="N68" s="66">
        <v>147</v>
      </c>
      <c r="O68" s="66">
        <v>177</v>
      </c>
      <c r="P68" s="66">
        <v>206</v>
      </c>
      <c r="Q68" s="66">
        <v>206</v>
      </c>
      <c r="R68" s="66">
        <v>12</v>
      </c>
      <c r="S68" s="66">
        <v>47</v>
      </c>
    </row>
    <row r="69" spans="1:19" ht="15.75" customHeight="1">
      <c r="A69" s="10"/>
      <c r="B69" s="10" t="s">
        <v>22</v>
      </c>
      <c r="C69" s="10" t="s">
        <v>131</v>
      </c>
      <c r="D69" s="72" t="s">
        <v>339</v>
      </c>
      <c r="E69" s="73"/>
      <c r="F69" s="10"/>
      <c r="G69" s="10"/>
      <c r="H69" s="10" t="s">
        <v>494</v>
      </c>
      <c r="I69" s="66">
        <v>41</v>
      </c>
      <c r="J69" s="66">
        <v>47</v>
      </c>
      <c r="K69" s="66">
        <v>47</v>
      </c>
      <c r="L69" s="66">
        <v>59</v>
      </c>
      <c r="M69" s="66">
        <v>118</v>
      </c>
      <c r="N69" s="66">
        <v>147</v>
      </c>
      <c r="O69" s="66">
        <v>177</v>
      </c>
      <c r="P69" s="66">
        <v>206</v>
      </c>
      <c r="Q69" s="66">
        <v>206</v>
      </c>
      <c r="R69" s="66">
        <v>12</v>
      </c>
      <c r="S69" s="66">
        <v>47</v>
      </c>
    </row>
    <row r="70" spans="1:19" ht="15.75" customHeight="1">
      <c r="A70" s="10"/>
      <c r="B70" s="10" t="s">
        <v>22</v>
      </c>
      <c r="C70" s="10" t="s">
        <v>133</v>
      </c>
      <c r="D70" s="72" t="s">
        <v>339</v>
      </c>
      <c r="E70" s="73"/>
      <c r="F70" s="10"/>
      <c r="G70" s="10"/>
      <c r="H70" s="10" t="s">
        <v>495</v>
      </c>
      <c r="I70" s="66">
        <v>41</v>
      </c>
      <c r="J70" s="66">
        <v>47</v>
      </c>
      <c r="K70" s="66">
        <v>47</v>
      </c>
      <c r="L70" s="66">
        <v>59</v>
      </c>
      <c r="M70" s="66">
        <v>118</v>
      </c>
      <c r="N70" s="66">
        <v>147</v>
      </c>
      <c r="O70" s="66">
        <v>177</v>
      </c>
      <c r="P70" s="66">
        <v>206</v>
      </c>
      <c r="Q70" s="66">
        <v>206</v>
      </c>
      <c r="R70" s="66">
        <v>12</v>
      </c>
      <c r="S70" s="66">
        <v>47</v>
      </c>
    </row>
    <row r="71" spans="1:19" ht="15.75" customHeight="1">
      <c r="A71" s="10"/>
      <c r="B71" s="10" t="s">
        <v>22</v>
      </c>
      <c r="C71" s="10" t="s">
        <v>135</v>
      </c>
      <c r="D71" s="72" t="s">
        <v>339</v>
      </c>
      <c r="E71" s="73"/>
      <c r="F71" s="10"/>
      <c r="G71" s="10"/>
      <c r="H71" s="10" t="s">
        <v>587</v>
      </c>
      <c r="I71" s="66">
        <v>41</v>
      </c>
      <c r="J71" s="66">
        <v>47</v>
      </c>
      <c r="K71" s="66">
        <v>47</v>
      </c>
      <c r="L71" s="66">
        <v>59</v>
      </c>
      <c r="M71" s="66">
        <v>118</v>
      </c>
      <c r="N71" s="66">
        <v>147</v>
      </c>
      <c r="O71" s="66">
        <v>177</v>
      </c>
      <c r="P71" s="66">
        <v>206</v>
      </c>
      <c r="Q71" s="66">
        <v>206</v>
      </c>
      <c r="R71" s="66">
        <v>12</v>
      </c>
      <c r="S71" s="66">
        <v>47</v>
      </c>
    </row>
    <row r="72" spans="1:19" ht="15.75" customHeight="1">
      <c r="A72" s="10"/>
      <c r="B72" s="10" t="s">
        <v>22</v>
      </c>
      <c r="C72" s="10" t="s">
        <v>137</v>
      </c>
      <c r="D72" s="72" t="s">
        <v>339</v>
      </c>
      <c r="E72" s="73"/>
      <c r="F72" s="10"/>
      <c r="G72" s="10"/>
      <c r="H72" s="10" t="s">
        <v>492</v>
      </c>
      <c r="I72" s="66">
        <v>30</v>
      </c>
      <c r="J72" s="66">
        <v>36</v>
      </c>
      <c r="K72" s="66">
        <v>41</v>
      </c>
      <c r="L72" s="66">
        <v>53</v>
      </c>
      <c r="M72" s="66">
        <v>130</v>
      </c>
      <c r="N72" s="66">
        <v>147</v>
      </c>
      <c r="O72" s="66">
        <v>177</v>
      </c>
      <c r="P72" s="66">
        <v>206</v>
      </c>
      <c r="Q72" s="66">
        <v>206</v>
      </c>
      <c r="R72" s="66">
        <v>12</v>
      </c>
      <c r="S72" s="66">
        <v>47</v>
      </c>
    </row>
    <row r="73" spans="1:19" ht="15.75" customHeight="1">
      <c r="A73" s="10"/>
      <c r="B73" s="10" t="s">
        <v>22</v>
      </c>
      <c r="C73" s="10" t="s">
        <v>139</v>
      </c>
      <c r="D73" s="72" t="s">
        <v>339</v>
      </c>
      <c r="E73" s="73"/>
      <c r="F73" s="10"/>
      <c r="G73" s="10"/>
      <c r="H73" s="10" t="s">
        <v>588</v>
      </c>
      <c r="I73" s="66">
        <v>41</v>
      </c>
      <c r="J73" s="66">
        <v>47</v>
      </c>
      <c r="K73" s="66">
        <v>47</v>
      </c>
      <c r="L73" s="66">
        <v>59</v>
      </c>
      <c r="M73" s="66">
        <v>118</v>
      </c>
      <c r="N73" s="66">
        <v>147</v>
      </c>
      <c r="O73" s="66">
        <v>177</v>
      </c>
      <c r="P73" s="66">
        <v>206</v>
      </c>
      <c r="Q73" s="66">
        <v>206</v>
      </c>
      <c r="R73" s="66">
        <v>12</v>
      </c>
      <c r="S73" s="66">
        <v>47</v>
      </c>
    </row>
    <row r="74" spans="1:19" ht="15.75" customHeight="1">
      <c r="A74" s="10"/>
      <c r="B74" s="10" t="s">
        <v>22</v>
      </c>
      <c r="C74" s="10" t="s">
        <v>141</v>
      </c>
      <c r="D74" s="72" t="s">
        <v>339</v>
      </c>
      <c r="E74" s="73"/>
      <c r="F74" s="10"/>
      <c r="G74" s="10"/>
      <c r="H74" s="10" t="s">
        <v>492</v>
      </c>
      <c r="I74" s="66">
        <v>29</v>
      </c>
      <c r="J74" s="66">
        <v>32</v>
      </c>
      <c r="K74" s="66">
        <v>29</v>
      </c>
      <c r="L74" s="66">
        <v>31</v>
      </c>
      <c r="M74" s="66">
        <v>118</v>
      </c>
      <c r="N74" s="66">
        <v>147</v>
      </c>
      <c r="O74" s="66">
        <v>177</v>
      </c>
      <c r="P74" s="66">
        <v>206</v>
      </c>
      <c r="Q74" s="66">
        <v>206</v>
      </c>
      <c r="R74" s="66">
        <v>12</v>
      </c>
      <c r="S74" s="66">
        <v>47</v>
      </c>
    </row>
    <row r="75" spans="1:19" ht="15.75" customHeight="1">
      <c r="A75" s="10"/>
      <c r="B75" s="10" t="s">
        <v>22</v>
      </c>
      <c r="C75" s="10" t="s">
        <v>143</v>
      </c>
      <c r="D75" s="72" t="s">
        <v>339</v>
      </c>
      <c r="E75" s="73"/>
      <c r="F75" s="10"/>
      <c r="G75" s="10"/>
      <c r="H75" s="10" t="s">
        <v>498</v>
      </c>
      <c r="I75" s="66">
        <v>41</v>
      </c>
      <c r="J75" s="66">
        <v>47</v>
      </c>
      <c r="K75" s="66">
        <v>47</v>
      </c>
      <c r="L75" s="66">
        <v>59</v>
      </c>
      <c r="M75" s="66">
        <v>118</v>
      </c>
      <c r="N75" s="66">
        <v>147</v>
      </c>
      <c r="O75" s="66">
        <v>177</v>
      </c>
      <c r="P75" s="66">
        <v>206</v>
      </c>
      <c r="Q75" s="66">
        <v>206</v>
      </c>
      <c r="R75" s="66">
        <v>12</v>
      </c>
      <c r="S75" s="66">
        <v>47</v>
      </c>
    </row>
    <row r="76" spans="1:19" ht="15.75" customHeight="1">
      <c r="A76" s="10"/>
      <c r="B76" s="10" t="s">
        <v>22</v>
      </c>
      <c r="C76" s="10" t="s">
        <v>145</v>
      </c>
      <c r="D76" s="72" t="s">
        <v>339</v>
      </c>
      <c r="E76" s="73"/>
      <c r="F76" s="10"/>
      <c r="G76" s="10"/>
      <c r="H76" s="10" t="s">
        <v>499</v>
      </c>
      <c r="I76" s="66">
        <v>41</v>
      </c>
      <c r="J76" s="66">
        <v>47</v>
      </c>
      <c r="K76" s="66">
        <v>47</v>
      </c>
      <c r="L76" s="66">
        <v>59</v>
      </c>
      <c r="M76" s="66">
        <v>118</v>
      </c>
      <c r="N76" s="66">
        <v>147</v>
      </c>
      <c r="O76" s="66">
        <v>177</v>
      </c>
      <c r="P76" s="66">
        <v>206</v>
      </c>
      <c r="Q76" s="66">
        <v>206</v>
      </c>
      <c r="R76" s="66">
        <v>12</v>
      </c>
      <c r="S76" s="66">
        <v>47</v>
      </c>
    </row>
    <row r="77" spans="1:19" ht="15.75" customHeight="1">
      <c r="A77" s="10"/>
      <c r="B77" s="10" t="s">
        <v>22</v>
      </c>
      <c r="C77" s="10" t="s">
        <v>147</v>
      </c>
      <c r="D77" s="72" t="s">
        <v>339</v>
      </c>
      <c r="E77" s="73"/>
      <c r="F77" s="10"/>
      <c r="G77" s="10"/>
      <c r="H77" s="10" t="s">
        <v>500</v>
      </c>
      <c r="I77" s="66">
        <v>41</v>
      </c>
      <c r="J77" s="66">
        <v>47</v>
      </c>
      <c r="K77" s="66">
        <v>47</v>
      </c>
      <c r="L77" s="66">
        <v>59</v>
      </c>
      <c r="M77" s="66">
        <v>118</v>
      </c>
      <c r="N77" s="66">
        <v>147</v>
      </c>
      <c r="O77" s="66">
        <v>177</v>
      </c>
      <c r="P77" s="66">
        <v>206</v>
      </c>
      <c r="Q77" s="66">
        <v>206</v>
      </c>
      <c r="R77" s="66">
        <v>12</v>
      </c>
      <c r="S77" s="66">
        <v>47</v>
      </c>
    </row>
    <row r="78" spans="1:19" ht="15.75" customHeight="1">
      <c r="A78" s="10"/>
      <c r="B78" s="10" t="s">
        <v>22</v>
      </c>
      <c r="C78" s="10" t="s">
        <v>149</v>
      </c>
      <c r="D78" s="72" t="s">
        <v>339</v>
      </c>
      <c r="E78" s="73"/>
      <c r="F78" s="10"/>
      <c r="G78" s="10"/>
      <c r="H78" s="10" t="s">
        <v>492</v>
      </c>
      <c r="I78" s="66">
        <v>41</v>
      </c>
      <c r="J78" s="66">
        <v>47</v>
      </c>
      <c r="K78" s="66">
        <v>47</v>
      </c>
      <c r="L78" s="66">
        <v>59</v>
      </c>
      <c r="M78" s="66">
        <v>118</v>
      </c>
      <c r="N78" s="66">
        <v>147</v>
      </c>
      <c r="O78" s="66">
        <v>177</v>
      </c>
      <c r="P78" s="66">
        <v>206</v>
      </c>
      <c r="Q78" s="66">
        <v>206</v>
      </c>
      <c r="R78" s="66">
        <v>12</v>
      </c>
      <c r="S78" s="66">
        <v>47</v>
      </c>
    </row>
    <row r="79" spans="1:19" ht="15.75" customHeight="1">
      <c r="A79" s="10"/>
      <c r="B79" s="10" t="s">
        <v>22</v>
      </c>
      <c r="C79" s="10" t="s">
        <v>151</v>
      </c>
      <c r="D79" s="72" t="s">
        <v>339</v>
      </c>
      <c r="E79" s="73"/>
      <c r="F79" s="10"/>
      <c r="G79" s="10"/>
      <c r="H79" s="10" t="s">
        <v>589</v>
      </c>
      <c r="I79" s="66">
        <v>35</v>
      </c>
      <c r="J79" s="66">
        <v>38</v>
      </c>
      <c r="K79" s="66">
        <v>40</v>
      </c>
      <c r="L79" s="66">
        <v>50</v>
      </c>
      <c r="M79" s="66">
        <v>88</v>
      </c>
      <c r="N79" s="66">
        <v>147</v>
      </c>
      <c r="O79" s="66">
        <v>177</v>
      </c>
      <c r="P79" s="66">
        <v>206</v>
      </c>
      <c r="Q79" s="66">
        <v>206</v>
      </c>
      <c r="R79" s="66">
        <v>12</v>
      </c>
      <c r="S79" s="66">
        <v>47</v>
      </c>
    </row>
    <row r="80" spans="1:19" ht="15.75" customHeight="1">
      <c r="A80" s="10"/>
      <c r="B80" s="10" t="s">
        <v>22</v>
      </c>
      <c r="C80" s="10" t="s">
        <v>153</v>
      </c>
      <c r="D80" s="72" t="s">
        <v>339</v>
      </c>
      <c r="E80" s="73"/>
      <c r="F80" s="10"/>
      <c r="G80" s="10"/>
      <c r="H80" s="10" t="s">
        <v>590</v>
      </c>
      <c r="I80" s="66">
        <v>35</v>
      </c>
      <c r="J80" s="66">
        <v>38</v>
      </c>
      <c r="K80" s="66">
        <v>40</v>
      </c>
      <c r="L80" s="66">
        <v>50</v>
      </c>
      <c r="M80" s="66">
        <v>88</v>
      </c>
      <c r="N80" s="66">
        <v>147</v>
      </c>
      <c r="O80" s="66">
        <v>177</v>
      </c>
      <c r="P80" s="66">
        <v>206</v>
      </c>
      <c r="Q80" s="66">
        <v>206</v>
      </c>
      <c r="R80" s="66">
        <v>12</v>
      </c>
      <c r="S80" s="66">
        <v>47</v>
      </c>
    </row>
    <row r="81" spans="1:19" ht="15.75" customHeight="1">
      <c r="A81" s="10"/>
      <c r="B81" s="10" t="s">
        <v>22</v>
      </c>
      <c r="C81" s="10" t="s">
        <v>155</v>
      </c>
      <c r="D81" s="72" t="s">
        <v>339</v>
      </c>
      <c r="E81" s="73"/>
      <c r="F81" s="10"/>
      <c r="G81" s="10"/>
      <c r="H81" s="10" t="s">
        <v>591</v>
      </c>
      <c r="I81" s="66">
        <v>35</v>
      </c>
      <c r="J81" s="66">
        <v>38</v>
      </c>
      <c r="K81" s="66">
        <v>40</v>
      </c>
      <c r="L81" s="66">
        <v>50</v>
      </c>
      <c r="M81" s="66">
        <v>88</v>
      </c>
      <c r="N81" s="66">
        <v>147</v>
      </c>
      <c r="O81" s="66">
        <v>177</v>
      </c>
      <c r="P81" s="66">
        <v>206</v>
      </c>
      <c r="Q81" s="66">
        <v>206</v>
      </c>
      <c r="R81" s="66">
        <v>12</v>
      </c>
      <c r="S81" s="66">
        <v>47</v>
      </c>
    </row>
    <row r="82" spans="1:19" ht="15.75" customHeight="1">
      <c r="A82" s="10"/>
      <c r="B82" s="10" t="s">
        <v>22</v>
      </c>
      <c r="C82" s="10" t="s">
        <v>158</v>
      </c>
      <c r="D82" s="72" t="s">
        <v>339</v>
      </c>
      <c r="E82" s="73"/>
      <c r="F82" s="10"/>
      <c r="G82" s="10"/>
      <c r="H82" s="10" t="s">
        <v>592</v>
      </c>
      <c r="I82" s="66">
        <v>35</v>
      </c>
      <c r="J82" s="66">
        <v>38</v>
      </c>
      <c r="K82" s="66">
        <v>40</v>
      </c>
      <c r="L82" s="66">
        <v>50</v>
      </c>
      <c r="M82" s="66">
        <v>88</v>
      </c>
      <c r="N82" s="66">
        <v>147</v>
      </c>
      <c r="O82" s="66">
        <v>177</v>
      </c>
      <c r="P82" s="66">
        <v>206</v>
      </c>
      <c r="Q82" s="66">
        <v>206</v>
      </c>
      <c r="R82" s="66">
        <v>12</v>
      </c>
      <c r="S82" s="66">
        <v>47</v>
      </c>
    </row>
    <row r="83" spans="1:19" ht="15.75" customHeight="1">
      <c r="A83" s="10"/>
      <c r="B83" s="10" t="s">
        <v>22</v>
      </c>
      <c r="C83" s="10" t="s">
        <v>160</v>
      </c>
      <c r="D83" s="72" t="s">
        <v>339</v>
      </c>
      <c r="E83" s="73"/>
      <c r="F83" s="10"/>
      <c r="G83" s="10"/>
      <c r="H83" s="10" t="s">
        <v>590</v>
      </c>
      <c r="I83" s="66">
        <v>35</v>
      </c>
      <c r="J83" s="66">
        <v>38</v>
      </c>
      <c r="K83" s="66">
        <v>40</v>
      </c>
      <c r="L83" s="66">
        <v>50</v>
      </c>
      <c r="M83" s="66">
        <v>124</v>
      </c>
      <c r="N83" s="66">
        <v>147</v>
      </c>
      <c r="O83" s="66">
        <v>177</v>
      </c>
      <c r="P83" s="66">
        <v>206</v>
      </c>
      <c r="Q83" s="66">
        <v>206</v>
      </c>
      <c r="R83" s="66">
        <v>12</v>
      </c>
      <c r="S83" s="66">
        <v>47</v>
      </c>
    </row>
    <row r="84" spans="1:19" ht="15.75" customHeight="1">
      <c r="A84" s="10"/>
      <c r="B84" s="10" t="s">
        <v>22</v>
      </c>
      <c r="C84" s="10" t="s">
        <v>162</v>
      </c>
      <c r="D84" s="72" t="s">
        <v>339</v>
      </c>
      <c r="E84" s="73"/>
      <c r="F84" s="10"/>
      <c r="G84" s="10"/>
      <c r="H84" s="10" t="s">
        <v>593</v>
      </c>
      <c r="I84" s="66">
        <v>35</v>
      </c>
      <c r="J84" s="66">
        <v>38</v>
      </c>
      <c r="K84" s="66">
        <v>40</v>
      </c>
      <c r="L84" s="66">
        <v>50</v>
      </c>
      <c r="M84" s="66">
        <v>88</v>
      </c>
      <c r="N84" s="66">
        <v>147</v>
      </c>
      <c r="O84" s="66">
        <v>177</v>
      </c>
      <c r="P84" s="66">
        <v>206</v>
      </c>
      <c r="Q84" s="66">
        <v>206</v>
      </c>
      <c r="R84" s="66">
        <v>12</v>
      </c>
      <c r="S84" s="66">
        <v>47</v>
      </c>
    </row>
    <row r="85" spans="1:19" ht="15.75" customHeight="1">
      <c r="A85" s="10"/>
      <c r="B85" s="10" t="s">
        <v>22</v>
      </c>
      <c r="C85" s="10" t="s">
        <v>164</v>
      </c>
      <c r="D85" s="72" t="s">
        <v>339</v>
      </c>
      <c r="E85" s="73"/>
      <c r="F85" s="10"/>
      <c r="G85" s="10"/>
      <c r="H85" s="10" t="s">
        <v>590</v>
      </c>
      <c r="I85" s="66">
        <v>35</v>
      </c>
      <c r="J85" s="66">
        <v>38</v>
      </c>
      <c r="K85" s="66">
        <v>40</v>
      </c>
      <c r="L85" s="66">
        <v>50</v>
      </c>
      <c r="M85" s="66">
        <v>88</v>
      </c>
      <c r="N85" s="66">
        <v>147</v>
      </c>
      <c r="O85" s="66">
        <v>177</v>
      </c>
      <c r="P85" s="66">
        <v>206</v>
      </c>
      <c r="Q85" s="66">
        <v>206</v>
      </c>
      <c r="R85" s="66">
        <v>12</v>
      </c>
      <c r="S85" s="66">
        <v>47</v>
      </c>
    </row>
    <row r="86" spans="1:19" ht="15.75" customHeight="1">
      <c r="A86" s="10"/>
      <c r="B86" s="10" t="s">
        <v>22</v>
      </c>
      <c r="C86" s="10" t="s">
        <v>414</v>
      </c>
      <c r="D86" s="72" t="s">
        <v>339</v>
      </c>
      <c r="E86" s="73"/>
      <c r="F86" s="10"/>
      <c r="G86" s="10"/>
      <c r="H86" s="10" t="s">
        <v>594</v>
      </c>
      <c r="I86" s="66">
        <v>35</v>
      </c>
      <c r="J86" s="66">
        <v>38</v>
      </c>
      <c r="K86" s="66">
        <v>40</v>
      </c>
      <c r="L86" s="66">
        <v>50</v>
      </c>
      <c r="M86" s="66">
        <v>88</v>
      </c>
      <c r="N86" s="66">
        <v>147</v>
      </c>
      <c r="O86" s="66">
        <v>177</v>
      </c>
      <c r="P86" s="66">
        <v>206</v>
      </c>
      <c r="Q86" s="66">
        <v>206</v>
      </c>
      <c r="R86" s="66">
        <v>12</v>
      </c>
      <c r="S86" s="66">
        <v>47</v>
      </c>
    </row>
    <row r="87" spans="1:19" ht="15.75" customHeight="1">
      <c r="A87" s="10"/>
      <c r="B87" s="10" t="s">
        <v>22</v>
      </c>
      <c r="C87" s="10" t="s">
        <v>416</v>
      </c>
      <c r="D87" s="72" t="s">
        <v>339</v>
      </c>
      <c r="E87" s="73"/>
      <c r="F87" s="10"/>
      <c r="G87" s="10"/>
      <c r="H87" s="10" t="s">
        <v>595</v>
      </c>
      <c r="I87" s="66">
        <v>35</v>
      </c>
      <c r="J87" s="66">
        <v>38</v>
      </c>
      <c r="K87" s="66">
        <v>40</v>
      </c>
      <c r="L87" s="66">
        <v>50</v>
      </c>
      <c r="M87" s="66">
        <v>88</v>
      </c>
      <c r="N87" s="66">
        <v>147</v>
      </c>
      <c r="O87" s="66">
        <v>177</v>
      </c>
      <c r="P87" s="66">
        <v>206</v>
      </c>
      <c r="Q87" s="66">
        <v>206</v>
      </c>
      <c r="R87" s="66">
        <v>12</v>
      </c>
      <c r="S87" s="66">
        <v>47</v>
      </c>
    </row>
    <row r="88" spans="1:19" ht="15.75" customHeight="1">
      <c r="A88" s="10"/>
      <c r="B88" s="10" t="s">
        <v>22</v>
      </c>
      <c r="C88" s="10" t="s">
        <v>170</v>
      </c>
      <c r="D88" s="72" t="s">
        <v>339</v>
      </c>
      <c r="E88" s="73"/>
      <c r="F88" s="10"/>
      <c r="G88" s="10"/>
      <c r="H88" s="10" t="s">
        <v>596</v>
      </c>
      <c r="I88" s="66">
        <v>35</v>
      </c>
      <c r="J88" s="66">
        <v>38</v>
      </c>
      <c r="K88" s="66">
        <v>40</v>
      </c>
      <c r="L88" s="66">
        <v>50</v>
      </c>
      <c r="M88" s="66">
        <v>88</v>
      </c>
      <c r="N88" s="66">
        <v>147</v>
      </c>
      <c r="O88" s="66">
        <v>177</v>
      </c>
      <c r="P88" s="66">
        <v>206</v>
      </c>
      <c r="Q88" s="66">
        <v>206</v>
      </c>
      <c r="R88" s="66">
        <v>12</v>
      </c>
      <c r="S88" s="66">
        <v>47</v>
      </c>
    </row>
    <row r="89" spans="1:19" ht="15.75" customHeight="1">
      <c r="A89" s="10"/>
      <c r="B89" s="10" t="s">
        <v>22</v>
      </c>
      <c r="C89" s="10" t="s">
        <v>172</v>
      </c>
      <c r="D89" s="72" t="s">
        <v>339</v>
      </c>
      <c r="E89" s="73"/>
      <c r="F89" s="10"/>
      <c r="G89" s="10"/>
      <c r="H89" s="10" t="s">
        <v>597</v>
      </c>
      <c r="I89" s="66">
        <v>35</v>
      </c>
      <c r="J89" s="66">
        <v>38</v>
      </c>
      <c r="K89" s="66">
        <v>40</v>
      </c>
      <c r="L89" s="66">
        <v>50</v>
      </c>
      <c r="M89" s="66">
        <v>88</v>
      </c>
      <c r="N89" s="66">
        <v>147</v>
      </c>
      <c r="O89" s="66">
        <v>177</v>
      </c>
      <c r="P89" s="66">
        <v>206</v>
      </c>
      <c r="Q89" s="66">
        <v>206</v>
      </c>
      <c r="R89" s="66">
        <v>12</v>
      </c>
      <c r="S89" s="66">
        <v>47</v>
      </c>
    </row>
    <row r="90" spans="1:19" ht="15.75" customHeight="1">
      <c r="A90" s="10"/>
      <c r="B90" s="10" t="s">
        <v>22</v>
      </c>
      <c r="C90" s="10" t="s">
        <v>174</v>
      </c>
      <c r="D90" s="72" t="s">
        <v>339</v>
      </c>
      <c r="E90" s="73"/>
      <c r="F90" s="10"/>
      <c r="G90" s="10"/>
      <c r="H90" s="10" t="s">
        <v>598</v>
      </c>
      <c r="I90" s="66">
        <v>35</v>
      </c>
      <c r="J90" s="66">
        <v>38</v>
      </c>
      <c r="K90" s="66">
        <v>40</v>
      </c>
      <c r="L90" s="66">
        <v>50</v>
      </c>
      <c r="M90" s="66">
        <v>88</v>
      </c>
      <c r="N90" s="66">
        <v>147</v>
      </c>
      <c r="O90" s="66">
        <v>177</v>
      </c>
      <c r="P90" s="66">
        <v>206</v>
      </c>
      <c r="Q90" s="66">
        <v>206</v>
      </c>
      <c r="R90" s="66">
        <v>12</v>
      </c>
      <c r="S90" s="66">
        <v>47</v>
      </c>
    </row>
    <row r="91" spans="1:19" ht="15.75" customHeight="1">
      <c r="A91" s="10"/>
      <c r="B91" s="10" t="s">
        <v>22</v>
      </c>
      <c r="C91" s="10" t="s">
        <v>176</v>
      </c>
      <c r="D91" s="72" t="s">
        <v>339</v>
      </c>
      <c r="E91" s="73"/>
      <c r="F91" s="10"/>
      <c r="G91" s="10"/>
      <c r="H91" s="10" t="s">
        <v>599</v>
      </c>
      <c r="I91" s="66">
        <v>35</v>
      </c>
      <c r="J91" s="66">
        <v>38</v>
      </c>
      <c r="K91" s="66">
        <v>40</v>
      </c>
      <c r="L91" s="66">
        <v>50</v>
      </c>
      <c r="M91" s="66">
        <v>88</v>
      </c>
      <c r="N91" s="66">
        <v>147</v>
      </c>
      <c r="O91" s="66">
        <v>177</v>
      </c>
      <c r="P91" s="66">
        <v>206</v>
      </c>
      <c r="Q91" s="66">
        <v>206</v>
      </c>
      <c r="R91" s="66">
        <v>12</v>
      </c>
      <c r="S91" s="66">
        <v>47</v>
      </c>
    </row>
    <row r="92" spans="1:19" ht="15.75" customHeight="1">
      <c r="A92" s="10"/>
      <c r="B92" s="10" t="s">
        <v>22</v>
      </c>
      <c r="C92" s="10" t="s">
        <v>178</v>
      </c>
      <c r="D92" s="72" t="s">
        <v>339</v>
      </c>
      <c r="E92" s="73"/>
      <c r="F92" s="10"/>
      <c r="G92" s="10"/>
      <c r="H92" s="10" t="s">
        <v>600</v>
      </c>
      <c r="I92" s="66">
        <v>35</v>
      </c>
      <c r="J92" s="66">
        <v>38</v>
      </c>
      <c r="K92" s="66">
        <v>40</v>
      </c>
      <c r="L92" s="66">
        <v>50</v>
      </c>
      <c r="M92" s="66">
        <v>88</v>
      </c>
      <c r="N92" s="66">
        <v>147</v>
      </c>
      <c r="O92" s="66">
        <v>177</v>
      </c>
      <c r="P92" s="66">
        <v>206</v>
      </c>
      <c r="Q92" s="66">
        <v>206</v>
      </c>
      <c r="R92" s="66">
        <v>12</v>
      </c>
      <c r="S92" s="66">
        <v>47</v>
      </c>
    </row>
    <row r="93" spans="1:19" ht="15.75" customHeight="1">
      <c r="A93" s="10"/>
      <c r="B93" s="10" t="s">
        <v>22</v>
      </c>
      <c r="C93" s="10" t="s">
        <v>180</v>
      </c>
      <c r="D93" s="72" t="s">
        <v>339</v>
      </c>
      <c r="E93" s="73"/>
      <c r="F93" s="10"/>
      <c r="G93" s="10"/>
      <c r="H93" s="10" t="s">
        <v>598</v>
      </c>
      <c r="I93" s="66">
        <v>41</v>
      </c>
      <c r="J93" s="66">
        <v>47</v>
      </c>
      <c r="K93" s="66">
        <v>47</v>
      </c>
      <c r="L93" s="66">
        <v>59</v>
      </c>
      <c r="M93" s="66">
        <v>124</v>
      </c>
      <c r="N93" s="66">
        <v>147</v>
      </c>
      <c r="O93" s="66">
        <v>177</v>
      </c>
      <c r="P93" s="66">
        <v>206</v>
      </c>
      <c r="Q93" s="66">
        <v>206</v>
      </c>
      <c r="R93" s="66">
        <v>12</v>
      </c>
      <c r="S93" s="66">
        <v>47</v>
      </c>
    </row>
    <row r="94" spans="1:19" ht="15.75" customHeight="1">
      <c r="A94" s="10"/>
      <c r="B94" s="10" t="s">
        <v>22</v>
      </c>
      <c r="C94" s="10" t="s">
        <v>182</v>
      </c>
      <c r="D94" s="72" t="s">
        <v>339</v>
      </c>
      <c r="E94" s="73"/>
      <c r="F94" s="10"/>
      <c r="G94" s="10"/>
      <c r="H94" s="10" t="s">
        <v>601</v>
      </c>
      <c r="I94" s="66">
        <v>35</v>
      </c>
      <c r="J94" s="66">
        <v>38</v>
      </c>
      <c r="K94" s="66">
        <v>40</v>
      </c>
      <c r="L94" s="66">
        <v>50</v>
      </c>
      <c r="M94" s="66">
        <v>88</v>
      </c>
      <c r="N94" s="66">
        <v>147</v>
      </c>
      <c r="O94" s="66">
        <v>177</v>
      </c>
      <c r="P94" s="66">
        <v>206</v>
      </c>
      <c r="Q94" s="66">
        <v>206</v>
      </c>
      <c r="R94" s="66">
        <v>12</v>
      </c>
      <c r="S94" s="66">
        <v>47</v>
      </c>
    </row>
    <row r="95" spans="1:19" ht="15.75" customHeight="1">
      <c r="A95" s="10"/>
      <c r="B95" s="10" t="s">
        <v>22</v>
      </c>
      <c r="C95" s="10" t="s">
        <v>184</v>
      </c>
      <c r="D95" s="72" t="s">
        <v>339</v>
      </c>
      <c r="E95" s="73"/>
      <c r="F95" s="10"/>
      <c r="G95" s="10"/>
      <c r="H95" s="10" t="s">
        <v>598</v>
      </c>
      <c r="I95" s="66">
        <v>35</v>
      </c>
      <c r="J95" s="66">
        <v>38</v>
      </c>
      <c r="K95" s="66">
        <v>40</v>
      </c>
      <c r="L95" s="66">
        <v>50</v>
      </c>
      <c r="M95" s="66">
        <v>88</v>
      </c>
      <c r="N95" s="66">
        <v>147</v>
      </c>
      <c r="O95" s="66">
        <v>177</v>
      </c>
      <c r="P95" s="66">
        <v>206</v>
      </c>
      <c r="Q95" s="66">
        <v>206</v>
      </c>
      <c r="R95" s="66">
        <v>12</v>
      </c>
      <c r="S95" s="66">
        <v>47</v>
      </c>
    </row>
    <row r="96" spans="1:19" ht="15.75" customHeight="1">
      <c r="A96" s="10"/>
      <c r="B96" s="10" t="s">
        <v>22</v>
      </c>
      <c r="C96" s="10" t="s">
        <v>186</v>
      </c>
      <c r="D96" s="72" t="s">
        <v>339</v>
      </c>
      <c r="E96" s="73"/>
      <c r="F96" s="10"/>
      <c r="G96" s="10"/>
      <c r="H96" s="10" t="s">
        <v>602</v>
      </c>
      <c r="I96" s="66">
        <v>35</v>
      </c>
      <c r="J96" s="66">
        <v>38</v>
      </c>
      <c r="K96" s="66">
        <v>40</v>
      </c>
      <c r="L96" s="66">
        <v>50</v>
      </c>
      <c r="M96" s="66">
        <v>88</v>
      </c>
      <c r="N96" s="66">
        <v>147</v>
      </c>
      <c r="O96" s="66">
        <v>177</v>
      </c>
      <c r="P96" s="66">
        <v>206</v>
      </c>
      <c r="Q96" s="66">
        <v>206</v>
      </c>
      <c r="R96" s="66">
        <v>12</v>
      </c>
      <c r="S96" s="66">
        <v>47</v>
      </c>
    </row>
    <row r="97" spans="1:19" ht="15.75" customHeight="1">
      <c r="A97" s="10"/>
      <c r="B97" s="10" t="s">
        <v>22</v>
      </c>
      <c r="C97" s="10" t="s">
        <v>188</v>
      </c>
      <c r="D97" s="72" t="s">
        <v>339</v>
      </c>
      <c r="E97" s="73"/>
      <c r="F97" s="10"/>
      <c r="G97" s="10"/>
      <c r="H97" s="10" t="s">
        <v>603</v>
      </c>
      <c r="I97" s="66">
        <v>35</v>
      </c>
      <c r="J97" s="66">
        <v>38</v>
      </c>
      <c r="K97" s="66">
        <v>40</v>
      </c>
      <c r="L97" s="66">
        <v>50</v>
      </c>
      <c r="M97" s="66">
        <v>88</v>
      </c>
      <c r="N97" s="66">
        <v>147</v>
      </c>
      <c r="O97" s="66">
        <v>177</v>
      </c>
      <c r="P97" s="66">
        <v>206</v>
      </c>
      <c r="Q97" s="66">
        <v>206</v>
      </c>
      <c r="R97" s="66">
        <v>12</v>
      </c>
      <c r="S97" s="66">
        <v>47</v>
      </c>
    </row>
    <row r="98" spans="1:19" ht="15.75" customHeight="1">
      <c r="A98" s="10"/>
      <c r="B98" s="10" t="s">
        <v>22</v>
      </c>
      <c r="C98" s="10" t="s">
        <v>190</v>
      </c>
      <c r="D98" s="72" t="s">
        <v>339</v>
      </c>
      <c r="E98" s="73"/>
      <c r="F98" s="10"/>
      <c r="G98" s="10"/>
      <c r="H98" s="10" t="s">
        <v>604</v>
      </c>
      <c r="I98" s="66">
        <v>35</v>
      </c>
      <c r="J98" s="66">
        <v>38</v>
      </c>
      <c r="K98" s="66">
        <v>40</v>
      </c>
      <c r="L98" s="66">
        <v>50</v>
      </c>
      <c r="M98" s="66">
        <v>88</v>
      </c>
      <c r="N98" s="66">
        <v>147</v>
      </c>
      <c r="O98" s="66">
        <v>177</v>
      </c>
      <c r="P98" s="66">
        <v>206</v>
      </c>
      <c r="Q98" s="66">
        <v>206</v>
      </c>
      <c r="R98" s="66">
        <v>12</v>
      </c>
      <c r="S98" s="66">
        <v>47</v>
      </c>
    </row>
    <row r="99" spans="1:19" ht="15.75" customHeight="1">
      <c r="A99" s="10"/>
      <c r="B99" s="10" t="s">
        <v>22</v>
      </c>
      <c r="C99" s="10" t="s">
        <v>192</v>
      </c>
      <c r="D99" s="72" t="s">
        <v>339</v>
      </c>
      <c r="E99" s="73"/>
      <c r="F99" s="10"/>
      <c r="G99" s="10"/>
      <c r="H99" s="10" t="s">
        <v>515</v>
      </c>
      <c r="I99" s="66">
        <v>35</v>
      </c>
      <c r="J99" s="66">
        <v>38</v>
      </c>
      <c r="K99" s="66">
        <v>40</v>
      </c>
      <c r="L99" s="66">
        <v>50</v>
      </c>
      <c r="M99" s="66">
        <v>88</v>
      </c>
      <c r="N99" s="66">
        <v>147</v>
      </c>
      <c r="O99" s="66">
        <v>177</v>
      </c>
      <c r="P99" s="66">
        <v>206</v>
      </c>
      <c r="Q99" s="66">
        <v>206</v>
      </c>
      <c r="R99" s="66">
        <v>12</v>
      </c>
      <c r="S99" s="66">
        <v>47</v>
      </c>
    </row>
    <row r="100" spans="1:19" ht="15.75" customHeight="1">
      <c r="A100" s="10"/>
      <c r="B100" s="10" t="s">
        <v>22</v>
      </c>
      <c r="C100" s="10" t="s">
        <v>194</v>
      </c>
      <c r="D100" s="72" t="s">
        <v>339</v>
      </c>
      <c r="E100" s="73"/>
      <c r="F100" s="10"/>
      <c r="G100" s="10"/>
      <c r="H100" s="10" t="s">
        <v>605</v>
      </c>
      <c r="I100" s="66">
        <v>35</v>
      </c>
      <c r="J100" s="66">
        <v>38</v>
      </c>
      <c r="K100" s="66">
        <v>40</v>
      </c>
      <c r="L100" s="66">
        <v>50</v>
      </c>
      <c r="M100" s="66">
        <v>88</v>
      </c>
      <c r="N100" s="66">
        <v>147</v>
      </c>
      <c r="O100" s="66">
        <v>177</v>
      </c>
      <c r="P100" s="66">
        <v>206</v>
      </c>
      <c r="Q100" s="66">
        <v>206</v>
      </c>
      <c r="R100" s="66">
        <v>12</v>
      </c>
      <c r="S100" s="66">
        <v>47</v>
      </c>
    </row>
    <row r="101" spans="1:19" ht="15.75" customHeight="1">
      <c r="A101" s="10"/>
      <c r="B101" s="10" t="s">
        <v>22</v>
      </c>
      <c r="C101" s="10" t="s">
        <v>196</v>
      </c>
      <c r="D101" s="72" t="s">
        <v>339</v>
      </c>
      <c r="E101" s="73"/>
      <c r="F101" s="10"/>
      <c r="G101" s="10"/>
      <c r="H101" s="10" t="s">
        <v>517</v>
      </c>
      <c r="I101" s="66">
        <v>41</v>
      </c>
      <c r="J101" s="66">
        <v>47</v>
      </c>
      <c r="K101" s="66">
        <v>47</v>
      </c>
      <c r="L101" s="66">
        <v>59</v>
      </c>
      <c r="M101" s="66">
        <v>124</v>
      </c>
      <c r="N101" s="66">
        <v>147</v>
      </c>
      <c r="O101" s="66">
        <v>177</v>
      </c>
      <c r="P101" s="66">
        <v>206</v>
      </c>
      <c r="Q101" s="66">
        <v>206</v>
      </c>
      <c r="R101" s="66">
        <v>12</v>
      </c>
      <c r="S101" s="66">
        <v>47</v>
      </c>
    </row>
    <row r="102" spans="1:19" ht="15.75" customHeight="1">
      <c r="A102" s="10"/>
      <c r="B102" s="10" t="s">
        <v>22</v>
      </c>
      <c r="C102" s="10" t="s">
        <v>198</v>
      </c>
      <c r="D102" s="72" t="s">
        <v>339</v>
      </c>
      <c r="E102" s="73"/>
      <c r="F102" s="10"/>
      <c r="G102" s="10"/>
      <c r="H102" s="10" t="s">
        <v>606</v>
      </c>
      <c r="I102" s="66">
        <v>35</v>
      </c>
      <c r="J102" s="66">
        <v>38</v>
      </c>
      <c r="K102" s="66">
        <v>40</v>
      </c>
      <c r="L102" s="66">
        <v>50</v>
      </c>
      <c r="M102" s="66">
        <v>88</v>
      </c>
      <c r="N102" s="66">
        <v>147</v>
      </c>
      <c r="O102" s="66">
        <v>177</v>
      </c>
      <c r="P102" s="66">
        <v>206</v>
      </c>
      <c r="Q102" s="66">
        <v>206</v>
      </c>
      <c r="R102" s="66">
        <v>12</v>
      </c>
      <c r="S102" s="66">
        <v>47</v>
      </c>
    </row>
    <row r="103" spans="1:19" ht="15.75" customHeight="1">
      <c r="A103" s="10"/>
      <c r="B103" s="10" t="s">
        <v>22</v>
      </c>
      <c r="C103" s="10" t="s">
        <v>200</v>
      </c>
      <c r="D103" s="72" t="s">
        <v>339</v>
      </c>
      <c r="E103" s="73"/>
      <c r="F103" s="10"/>
      <c r="G103" s="10"/>
      <c r="H103" s="10" t="s">
        <v>517</v>
      </c>
      <c r="I103" s="66">
        <v>35</v>
      </c>
      <c r="J103" s="66">
        <v>38</v>
      </c>
      <c r="K103" s="66">
        <v>40</v>
      </c>
      <c r="L103" s="66">
        <v>50</v>
      </c>
      <c r="M103" s="66">
        <v>88</v>
      </c>
      <c r="N103" s="66">
        <v>147</v>
      </c>
      <c r="O103" s="66">
        <v>177</v>
      </c>
      <c r="P103" s="66">
        <v>206</v>
      </c>
      <c r="Q103" s="66">
        <v>206</v>
      </c>
      <c r="R103" s="66">
        <v>12</v>
      </c>
      <c r="S103" s="66">
        <v>47</v>
      </c>
    </row>
    <row r="104" spans="1:19" ht="15.75" customHeight="1">
      <c r="A104" s="10"/>
      <c r="B104" s="10" t="s">
        <v>22</v>
      </c>
      <c r="C104" s="10" t="s">
        <v>202</v>
      </c>
      <c r="D104" s="72" t="s">
        <v>339</v>
      </c>
      <c r="E104" s="73"/>
      <c r="F104" s="10"/>
      <c r="G104" s="10"/>
      <c r="H104" s="10" t="s">
        <v>519</v>
      </c>
      <c r="I104" s="66">
        <v>35</v>
      </c>
      <c r="J104" s="66">
        <v>38</v>
      </c>
      <c r="K104" s="66">
        <v>40</v>
      </c>
      <c r="L104" s="66">
        <v>50</v>
      </c>
      <c r="M104" s="66">
        <v>88</v>
      </c>
      <c r="N104" s="66">
        <v>147</v>
      </c>
      <c r="O104" s="66">
        <v>177</v>
      </c>
      <c r="P104" s="66">
        <v>206</v>
      </c>
      <c r="Q104" s="66">
        <v>206</v>
      </c>
      <c r="R104" s="66">
        <v>12</v>
      </c>
      <c r="S104" s="66">
        <v>47</v>
      </c>
    </row>
    <row r="105" spans="1:19" ht="15.75" customHeight="1">
      <c r="A105" s="10"/>
      <c r="B105" s="10" t="s">
        <v>22</v>
      </c>
      <c r="C105" s="10" t="s">
        <v>204</v>
      </c>
      <c r="D105" s="72" t="s">
        <v>339</v>
      </c>
      <c r="E105" s="73"/>
      <c r="F105" s="10"/>
      <c r="G105" s="10"/>
      <c r="H105" s="10" t="s">
        <v>520</v>
      </c>
      <c r="I105" s="66">
        <v>35</v>
      </c>
      <c r="J105" s="66">
        <v>38</v>
      </c>
      <c r="K105" s="66">
        <v>40</v>
      </c>
      <c r="L105" s="66">
        <v>50</v>
      </c>
      <c r="M105" s="66">
        <v>88</v>
      </c>
      <c r="N105" s="66">
        <v>147</v>
      </c>
      <c r="O105" s="66">
        <v>177</v>
      </c>
      <c r="P105" s="66">
        <v>206</v>
      </c>
      <c r="Q105" s="66">
        <v>206</v>
      </c>
      <c r="R105" s="66">
        <v>12</v>
      </c>
      <c r="S105" s="66">
        <v>47</v>
      </c>
    </row>
    <row r="106" spans="1:19" ht="15.75" customHeight="1">
      <c r="A106" s="10"/>
      <c r="B106" s="10" t="s">
        <v>22</v>
      </c>
      <c r="C106" s="10" t="s">
        <v>206</v>
      </c>
      <c r="D106" s="72" t="s">
        <v>339</v>
      </c>
      <c r="E106" s="73"/>
      <c r="F106" s="10"/>
      <c r="G106" s="10"/>
      <c r="H106" s="10" t="s">
        <v>517</v>
      </c>
      <c r="I106" s="66">
        <v>35</v>
      </c>
      <c r="J106" s="66">
        <v>38</v>
      </c>
      <c r="K106" s="66">
        <v>40</v>
      </c>
      <c r="L106" s="66">
        <v>50</v>
      </c>
      <c r="M106" s="66">
        <v>88</v>
      </c>
      <c r="N106" s="66">
        <v>147</v>
      </c>
      <c r="O106" s="66">
        <v>177</v>
      </c>
      <c r="P106" s="66">
        <v>206</v>
      </c>
      <c r="Q106" s="66">
        <v>206</v>
      </c>
      <c r="R106" s="66">
        <v>12</v>
      </c>
      <c r="S106" s="66">
        <v>47</v>
      </c>
    </row>
    <row r="107" spans="1:19" ht="15.75" customHeight="1">
      <c r="A107" s="10"/>
      <c r="B107" s="10" t="s">
        <v>22</v>
      </c>
      <c r="C107" s="10" t="s">
        <v>208</v>
      </c>
      <c r="D107" s="72" t="s">
        <v>339</v>
      </c>
      <c r="E107" s="73"/>
      <c r="F107" s="10"/>
      <c r="G107" s="10"/>
      <c r="H107" s="10" t="s">
        <v>607</v>
      </c>
      <c r="I107" s="66">
        <v>35</v>
      </c>
      <c r="J107" s="66">
        <v>38</v>
      </c>
      <c r="K107" s="66">
        <v>40</v>
      </c>
      <c r="L107" s="66">
        <v>50</v>
      </c>
      <c r="M107" s="66">
        <v>88</v>
      </c>
      <c r="N107" s="66">
        <v>147</v>
      </c>
      <c r="O107" s="66">
        <v>177</v>
      </c>
      <c r="P107" s="66">
        <v>206</v>
      </c>
      <c r="Q107" s="66">
        <v>206</v>
      </c>
      <c r="R107" s="66">
        <v>12</v>
      </c>
      <c r="S107" s="66">
        <v>47</v>
      </c>
    </row>
    <row r="108" spans="1:19" ht="15.75" customHeight="1">
      <c r="A108" s="10"/>
      <c r="B108" s="10" t="s">
        <v>22</v>
      </c>
      <c r="C108" s="10" t="s">
        <v>210</v>
      </c>
      <c r="D108" s="72" t="s">
        <v>339</v>
      </c>
      <c r="E108" s="73"/>
      <c r="F108" s="10"/>
      <c r="G108" s="10"/>
      <c r="H108" s="10" t="s">
        <v>522</v>
      </c>
      <c r="I108" s="66">
        <v>41</v>
      </c>
      <c r="J108" s="66">
        <v>47</v>
      </c>
      <c r="K108" s="66">
        <v>47</v>
      </c>
      <c r="L108" s="66">
        <v>59</v>
      </c>
      <c r="M108" s="66">
        <v>124</v>
      </c>
      <c r="N108" s="66">
        <v>147</v>
      </c>
      <c r="O108" s="66">
        <v>177</v>
      </c>
      <c r="P108" s="66">
        <v>206</v>
      </c>
      <c r="Q108" s="66">
        <v>206</v>
      </c>
      <c r="R108" s="66">
        <v>12</v>
      </c>
      <c r="S108" s="66">
        <v>47</v>
      </c>
    </row>
    <row r="109" spans="1:19" ht="15.75" customHeight="1">
      <c r="A109" s="10"/>
      <c r="B109" s="10" t="s">
        <v>22</v>
      </c>
      <c r="C109" s="10" t="s">
        <v>212</v>
      </c>
      <c r="D109" s="72" t="s">
        <v>339</v>
      </c>
      <c r="E109" s="73"/>
      <c r="F109" s="10"/>
      <c r="G109" s="10"/>
      <c r="H109" s="10" t="s">
        <v>608</v>
      </c>
      <c r="I109" s="66">
        <v>35</v>
      </c>
      <c r="J109" s="66">
        <v>38</v>
      </c>
      <c r="K109" s="66">
        <v>40</v>
      </c>
      <c r="L109" s="66">
        <v>50</v>
      </c>
      <c r="M109" s="66">
        <v>88</v>
      </c>
      <c r="N109" s="66">
        <v>147</v>
      </c>
      <c r="O109" s="66">
        <v>177</v>
      </c>
      <c r="P109" s="66">
        <v>206</v>
      </c>
      <c r="Q109" s="66">
        <v>206</v>
      </c>
      <c r="R109" s="66">
        <v>12</v>
      </c>
      <c r="S109" s="66">
        <v>47</v>
      </c>
    </row>
    <row r="110" spans="1:19" ht="15.75" customHeight="1">
      <c r="A110" s="10"/>
      <c r="B110" s="10" t="s">
        <v>22</v>
      </c>
      <c r="C110" s="10" t="s">
        <v>214</v>
      </c>
      <c r="D110" s="72" t="s">
        <v>339</v>
      </c>
      <c r="E110" s="73"/>
      <c r="F110" s="10"/>
      <c r="G110" s="10"/>
      <c r="H110" s="10" t="s">
        <v>522</v>
      </c>
      <c r="I110" s="66">
        <v>35</v>
      </c>
      <c r="J110" s="66">
        <v>38</v>
      </c>
      <c r="K110" s="66">
        <v>40</v>
      </c>
      <c r="L110" s="66">
        <v>50</v>
      </c>
      <c r="M110" s="66">
        <v>88</v>
      </c>
      <c r="N110" s="66">
        <v>147</v>
      </c>
      <c r="O110" s="66">
        <v>177</v>
      </c>
      <c r="P110" s="66">
        <v>206</v>
      </c>
      <c r="Q110" s="66">
        <v>206</v>
      </c>
      <c r="R110" s="66">
        <v>12</v>
      </c>
      <c r="S110" s="66">
        <v>47</v>
      </c>
    </row>
    <row r="111" spans="1:19" ht="15.75" customHeight="1">
      <c r="A111" s="10"/>
      <c r="B111" s="10" t="s">
        <v>22</v>
      </c>
      <c r="C111" s="10" t="s">
        <v>216</v>
      </c>
      <c r="D111" s="72" t="s">
        <v>339</v>
      </c>
      <c r="E111" s="73"/>
      <c r="F111" s="10"/>
      <c r="G111" s="10"/>
      <c r="H111" s="10" t="s">
        <v>524</v>
      </c>
      <c r="I111" s="66">
        <v>35</v>
      </c>
      <c r="J111" s="66">
        <v>38</v>
      </c>
      <c r="K111" s="66">
        <v>40</v>
      </c>
      <c r="L111" s="66">
        <v>50</v>
      </c>
      <c r="M111" s="66">
        <v>88</v>
      </c>
      <c r="N111" s="66">
        <v>147</v>
      </c>
      <c r="O111" s="66">
        <v>177</v>
      </c>
      <c r="P111" s="66">
        <v>206</v>
      </c>
      <c r="Q111" s="66">
        <v>206</v>
      </c>
      <c r="R111" s="66">
        <v>12</v>
      </c>
      <c r="S111" s="66">
        <v>47</v>
      </c>
    </row>
    <row r="112" spans="1:19" ht="15.75" customHeight="1">
      <c r="A112" s="10"/>
      <c r="B112" s="10" t="s">
        <v>22</v>
      </c>
      <c r="C112" s="10" t="s">
        <v>218</v>
      </c>
      <c r="D112" s="72" t="s">
        <v>339</v>
      </c>
      <c r="E112" s="73"/>
      <c r="F112" s="10"/>
      <c r="G112" s="10"/>
      <c r="H112" s="10" t="s">
        <v>525</v>
      </c>
      <c r="I112" s="66">
        <v>35</v>
      </c>
      <c r="J112" s="66">
        <v>38</v>
      </c>
      <c r="K112" s="66">
        <v>40</v>
      </c>
      <c r="L112" s="66">
        <v>50</v>
      </c>
      <c r="M112" s="66">
        <v>88</v>
      </c>
      <c r="N112" s="66">
        <v>147</v>
      </c>
      <c r="O112" s="66">
        <v>177</v>
      </c>
      <c r="P112" s="66">
        <v>206</v>
      </c>
      <c r="Q112" s="66">
        <v>206</v>
      </c>
      <c r="R112" s="66">
        <v>12</v>
      </c>
      <c r="S112" s="66">
        <v>47</v>
      </c>
    </row>
    <row r="113" spans="1:19" ht="15.75" customHeight="1">
      <c r="A113" s="10"/>
      <c r="B113" s="10" t="s">
        <v>22</v>
      </c>
      <c r="C113" s="10" t="s">
        <v>220</v>
      </c>
      <c r="D113" s="72" t="s">
        <v>339</v>
      </c>
      <c r="E113" s="73"/>
      <c r="F113" s="10"/>
      <c r="G113" s="10"/>
      <c r="H113" s="10" t="s">
        <v>526</v>
      </c>
      <c r="I113" s="66">
        <v>35</v>
      </c>
      <c r="J113" s="66">
        <v>38</v>
      </c>
      <c r="K113" s="66">
        <v>40</v>
      </c>
      <c r="L113" s="66">
        <v>50</v>
      </c>
      <c r="M113" s="66">
        <v>88</v>
      </c>
      <c r="N113" s="66">
        <v>147</v>
      </c>
      <c r="O113" s="66">
        <v>177</v>
      </c>
      <c r="P113" s="66">
        <v>206</v>
      </c>
      <c r="Q113" s="66">
        <v>206</v>
      </c>
      <c r="R113" s="66">
        <v>12</v>
      </c>
      <c r="S113" s="66">
        <v>47</v>
      </c>
    </row>
    <row r="114" spans="1:19" ht="15.75" customHeight="1">
      <c r="A114" s="10"/>
      <c r="B114" s="10" t="s">
        <v>22</v>
      </c>
      <c r="C114" s="10" t="s">
        <v>222</v>
      </c>
      <c r="D114" s="72" t="s">
        <v>339</v>
      </c>
      <c r="E114" s="73"/>
      <c r="F114" s="10"/>
      <c r="G114" s="10"/>
      <c r="H114" s="10" t="s">
        <v>522</v>
      </c>
      <c r="I114" s="66">
        <v>35</v>
      </c>
      <c r="J114" s="66">
        <v>38</v>
      </c>
      <c r="K114" s="66">
        <v>40</v>
      </c>
      <c r="L114" s="66">
        <v>50</v>
      </c>
      <c r="M114" s="66">
        <v>88</v>
      </c>
      <c r="N114" s="66">
        <v>147</v>
      </c>
      <c r="O114" s="66">
        <v>177</v>
      </c>
      <c r="P114" s="66">
        <v>206</v>
      </c>
      <c r="Q114" s="66">
        <v>206</v>
      </c>
      <c r="R114" s="66">
        <v>12</v>
      </c>
      <c r="S114" s="66">
        <v>47</v>
      </c>
    </row>
    <row r="115" spans="1:19" ht="15.75" customHeight="1">
      <c r="A115" s="10"/>
      <c r="B115" s="10" t="s">
        <v>22</v>
      </c>
      <c r="C115" s="10" t="s">
        <v>224</v>
      </c>
      <c r="D115" s="72" t="s">
        <v>339</v>
      </c>
      <c r="E115" s="73"/>
      <c r="F115" s="10"/>
      <c r="G115" s="10"/>
      <c r="H115" s="10" t="s">
        <v>609</v>
      </c>
      <c r="I115" s="66">
        <v>41</v>
      </c>
      <c r="J115" s="66">
        <v>47</v>
      </c>
      <c r="K115" s="66">
        <v>47</v>
      </c>
      <c r="L115" s="66">
        <v>59</v>
      </c>
      <c r="M115" s="66">
        <v>124</v>
      </c>
      <c r="N115" s="66">
        <v>147</v>
      </c>
      <c r="O115" s="66">
        <v>177</v>
      </c>
      <c r="P115" s="66">
        <v>206</v>
      </c>
      <c r="Q115" s="66">
        <v>206</v>
      </c>
      <c r="R115" s="66">
        <v>12</v>
      </c>
      <c r="S115" s="66">
        <v>47</v>
      </c>
    </row>
    <row r="116" spans="1:19" ht="15.75" customHeight="1">
      <c r="A116" s="10"/>
      <c r="B116" s="10" t="s">
        <v>22</v>
      </c>
      <c r="C116" s="10" t="s">
        <v>226</v>
      </c>
      <c r="D116" s="72" t="s">
        <v>339</v>
      </c>
      <c r="E116" s="73"/>
      <c r="F116" s="10"/>
      <c r="G116" s="10"/>
      <c r="H116" s="10" t="s">
        <v>610</v>
      </c>
      <c r="I116" s="66">
        <v>35</v>
      </c>
      <c r="J116" s="66">
        <v>38</v>
      </c>
      <c r="K116" s="66">
        <v>40</v>
      </c>
      <c r="L116" s="66">
        <v>50</v>
      </c>
      <c r="M116" s="66">
        <v>88</v>
      </c>
      <c r="N116" s="66">
        <v>147</v>
      </c>
      <c r="O116" s="66">
        <v>177</v>
      </c>
      <c r="P116" s="66">
        <v>206</v>
      </c>
      <c r="Q116" s="66">
        <v>206</v>
      </c>
      <c r="R116" s="66">
        <v>12</v>
      </c>
      <c r="S116" s="66">
        <v>47</v>
      </c>
    </row>
    <row r="117" spans="1:19" ht="15.75" customHeight="1">
      <c r="A117" s="10"/>
      <c r="B117" s="10" t="s">
        <v>22</v>
      </c>
      <c r="C117" s="10" t="s">
        <v>228</v>
      </c>
      <c r="D117" s="72" t="s">
        <v>339</v>
      </c>
      <c r="E117" s="73"/>
      <c r="F117" s="10"/>
      <c r="G117" s="10"/>
      <c r="H117" s="10" t="s">
        <v>609</v>
      </c>
      <c r="I117" s="66">
        <v>35</v>
      </c>
      <c r="J117" s="66">
        <v>38</v>
      </c>
      <c r="K117" s="66">
        <v>40</v>
      </c>
      <c r="L117" s="66">
        <v>50</v>
      </c>
      <c r="M117" s="66">
        <v>88</v>
      </c>
      <c r="N117" s="66">
        <v>147</v>
      </c>
      <c r="O117" s="66">
        <v>177</v>
      </c>
      <c r="P117" s="66">
        <v>206</v>
      </c>
      <c r="Q117" s="66">
        <v>206</v>
      </c>
      <c r="R117" s="66">
        <v>12</v>
      </c>
      <c r="S117" s="66">
        <v>47</v>
      </c>
    </row>
    <row r="118" spans="1:19" ht="15.75" customHeight="1">
      <c r="A118" s="10"/>
      <c r="B118" s="10" t="s">
        <v>22</v>
      </c>
      <c r="C118" s="10" t="s">
        <v>230</v>
      </c>
      <c r="D118" s="72" t="s">
        <v>339</v>
      </c>
      <c r="E118" s="73"/>
      <c r="F118" s="10"/>
      <c r="G118" s="10"/>
      <c r="H118" s="10" t="s">
        <v>611</v>
      </c>
      <c r="I118" s="66">
        <v>35</v>
      </c>
      <c r="J118" s="66">
        <v>38</v>
      </c>
      <c r="K118" s="66">
        <v>40</v>
      </c>
      <c r="L118" s="66">
        <v>50</v>
      </c>
      <c r="M118" s="66">
        <v>88</v>
      </c>
      <c r="N118" s="66">
        <v>147</v>
      </c>
      <c r="O118" s="66">
        <v>177</v>
      </c>
      <c r="P118" s="66">
        <v>206</v>
      </c>
      <c r="Q118" s="66">
        <v>206</v>
      </c>
      <c r="R118" s="66">
        <v>12</v>
      </c>
      <c r="S118" s="66">
        <v>47</v>
      </c>
    </row>
    <row r="119" spans="1:19" ht="15.75" customHeight="1">
      <c r="A119" s="10"/>
      <c r="B119" s="10" t="s">
        <v>22</v>
      </c>
      <c r="C119" s="10" t="s">
        <v>232</v>
      </c>
      <c r="D119" s="72" t="s">
        <v>339</v>
      </c>
      <c r="E119" s="73"/>
      <c r="F119" s="10"/>
      <c r="G119" s="10"/>
      <c r="H119" s="10" t="s">
        <v>612</v>
      </c>
      <c r="I119" s="66">
        <v>35</v>
      </c>
      <c r="J119" s="66">
        <v>38</v>
      </c>
      <c r="K119" s="66">
        <v>40</v>
      </c>
      <c r="L119" s="66">
        <v>50</v>
      </c>
      <c r="M119" s="66">
        <v>88</v>
      </c>
      <c r="N119" s="66">
        <v>147</v>
      </c>
      <c r="O119" s="66">
        <v>177</v>
      </c>
      <c r="P119" s="66">
        <v>206</v>
      </c>
      <c r="Q119" s="66">
        <v>206</v>
      </c>
      <c r="R119" s="66">
        <v>12</v>
      </c>
      <c r="S119" s="66">
        <v>47</v>
      </c>
    </row>
    <row r="120" spans="1:19" ht="15.75" customHeight="1">
      <c r="A120" s="10"/>
      <c r="B120" s="10" t="s">
        <v>22</v>
      </c>
      <c r="C120" s="10" t="s">
        <v>234</v>
      </c>
      <c r="D120" s="72" t="s">
        <v>339</v>
      </c>
      <c r="E120" s="73"/>
      <c r="F120" s="10"/>
      <c r="G120" s="10"/>
      <c r="H120" s="10" t="s">
        <v>613</v>
      </c>
      <c r="I120" s="66">
        <v>35</v>
      </c>
      <c r="J120" s="66">
        <v>38</v>
      </c>
      <c r="K120" s="66">
        <v>40</v>
      </c>
      <c r="L120" s="66">
        <v>50</v>
      </c>
      <c r="M120" s="66">
        <v>88</v>
      </c>
      <c r="N120" s="66">
        <v>147</v>
      </c>
      <c r="O120" s="66">
        <v>177</v>
      </c>
      <c r="P120" s="66">
        <v>206</v>
      </c>
      <c r="Q120" s="66">
        <v>206</v>
      </c>
      <c r="R120" s="66">
        <v>12</v>
      </c>
      <c r="S120" s="66">
        <v>47</v>
      </c>
    </row>
    <row r="121" spans="1:19" ht="15.75" customHeight="1">
      <c r="A121" s="10"/>
      <c r="B121" s="10" t="s">
        <v>22</v>
      </c>
      <c r="C121" s="10" t="s">
        <v>236</v>
      </c>
      <c r="D121" s="72" t="s">
        <v>339</v>
      </c>
      <c r="E121" s="73"/>
      <c r="F121" s="10"/>
      <c r="G121" s="10"/>
      <c r="H121" s="10" t="s">
        <v>612</v>
      </c>
      <c r="I121" s="66">
        <v>35</v>
      </c>
      <c r="J121" s="66">
        <v>38</v>
      </c>
      <c r="K121" s="66">
        <v>40</v>
      </c>
      <c r="L121" s="66">
        <v>50</v>
      </c>
      <c r="M121" s="66">
        <v>88</v>
      </c>
      <c r="N121" s="66">
        <v>147</v>
      </c>
      <c r="O121" s="66">
        <v>177</v>
      </c>
      <c r="P121" s="66">
        <v>206</v>
      </c>
      <c r="Q121" s="66">
        <v>206</v>
      </c>
      <c r="R121" s="66">
        <v>12</v>
      </c>
      <c r="S121" s="66">
        <v>47</v>
      </c>
    </row>
    <row r="122" spans="1:19" ht="15.75" customHeight="1">
      <c r="A122" s="10"/>
      <c r="B122" s="10" t="s">
        <v>22</v>
      </c>
      <c r="C122" s="10" t="s">
        <v>238</v>
      </c>
      <c r="D122" s="72" t="s">
        <v>339</v>
      </c>
      <c r="E122" s="73"/>
      <c r="F122" s="10"/>
      <c r="G122" s="10"/>
      <c r="H122" s="10" t="s">
        <v>614</v>
      </c>
      <c r="I122" s="66">
        <v>35</v>
      </c>
      <c r="J122" s="66">
        <v>38</v>
      </c>
      <c r="K122" s="66">
        <v>40</v>
      </c>
      <c r="L122" s="66">
        <v>50</v>
      </c>
      <c r="M122" s="66">
        <v>88</v>
      </c>
      <c r="N122" s="66">
        <v>147</v>
      </c>
      <c r="O122" s="66">
        <v>177</v>
      </c>
      <c r="P122" s="66">
        <v>206</v>
      </c>
      <c r="Q122" s="66">
        <v>206</v>
      </c>
      <c r="R122" s="66">
        <v>12</v>
      </c>
      <c r="S122" s="66">
        <v>47</v>
      </c>
    </row>
    <row r="123" spans="1:19" ht="15.75" customHeight="1">
      <c r="A123" s="10"/>
      <c r="B123" s="10" t="s">
        <v>22</v>
      </c>
      <c r="C123" s="10" t="s">
        <v>240</v>
      </c>
      <c r="D123" s="72" t="s">
        <v>339</v>
      </c>
      <c r="E123" s="73"/>
      <c r="F123" s="10"/>
      <c r="G123" s="10"/>
      <c r="H123" s="10" t="s">
        <v>614</v>
      </c>
      <c r="I123" s="66">
        <v>35</v>
      </c>
      <c r="J123" s="66">
        <v>38</v>
      </c>
      <c r="K123" s="66">
        <v>40</v>
      </c>
      <c r="L123" s="66">
        <v>50</v>
      </c>
      <c r="M123" s="66">
        <v>88</v>
      </c>
      <c r="N123" s="66">
        <v>147</v>
      </c>
      <c r="O123" s="66">
        <v>177</v>
      </c>
      <c r="P123" s="66">
        <v>206</v>
      </c>
      <c r="Q123" s="66">
        <v>206</v>
      </c>
      <c r="R123" s="66">
        <v>12</v>
      </c>
      <c r="S123" s="66">
        <v>47</v>
      </c>
    </row>
    <row r="124" spans="1:19" ht="15.75" customHeight="1">
      <c r="A124" s="10"/>
      <c r="B124" s="10" t="s">
        <v>22</v>
      </c>
      <c r="C124" s="10" t="s">
        <v>242</v>
      </c>
      <c r="D124" s="72" t="s">
        <v>339</v>
      </c>
      <c r="E124" s="73"/>
      <c r="F124" s="10"/>
      <c r="G124" s="10"/>
      <c r="H124" s="10" t="s">
        <v>615</v>
      </c>
      <c r="I124" s="66">
        <v>35</v>
      </c>
      <c r="J124" s="66">
        <v>38</v>
      </c>
      <c r="K124" s="66">
        <v>40</v>
      </c>
      <c r="L124" s="66">
        <v>50</v>
      </c>
      <c r="M124" s="66">
        <v>88</v>
      </c>
      <c r="N124" s="66">
        <v>147</v>
      </c>
      <c r="O124" s="66">
        <v>177</v>
      </c>
      <c r="P124" s="66">
        <v>206</v>
      </c>
      <c r="Q124" s="66">
        <v>206</v>
      </c>
      <c r="R124" s="66">
        <v>12</v>
      </c>
      <c r="S124" s="66">
        <v>47</v>
      </c>
    </row>
    <row r="125" spans="1:19" ht="15.75" customHeight="1">
      <c r="A125" s="10"/>
      <c r="B125" s="10" t="s">
        <v>22</v>
      </c>
      <c r="C125" s="10" t="s">
        <v>244</v>
      </c>
      <c r="D125" s="72" t="s">
        <v>339</v>
      </c>
      <c r="E125" s="73"/>
      <c r="F125" s="10"/>
      <c r="G125" s="10"/>
      <c r="H125" s="10" t="s">
        <v>616</v>
      </c>
      <c r="I125" s="66">
        <v>35</v>
      </c>
      <c r="J125" s="66">
        <v>38</v>
      </c>
      <c r="K125" s="66">
        <v>40</v>
      </c>
      <c r="L125" s="66">
        <v>50</v>
      </c>
      <c r="M125" s="66">
        <v>88</v>
      </c>
      <c r="N125" s="66">
        <v>147</v>
      </c>
      <c r="O125" s="66">
        <v>177</v>
      </c>
      <c r="P125" s="66">
        <v>206</v>
      </c>
      <c r="Q125" s="66">
        <v>206</v>
      </c>
      <c r="R125" s="66">
        <v>12</v>
      </c>
      <c r="S125" s="66">
        <v>47</v>
      </c>
    </row>
    <row r="126" spans="1:19" ht="15.75" customHeight="1">
      <c r="A126" s="10"/>
      <c r="B126" s="10" t="s">
        <v>22</v>
      </c>
      <c r="C126" s="10" t="s">
        <v>246</v>
      </c>
      <c r="D126" s="72" t="s">
        <v>339</v>
      </c>
      <c r="E126" s="73"/>
      <c r="F126" s="10"/>
      <c r="G126" s="10"/>
      <c r="H126" s="10" t="s">
        <v>617</v>
      </c>
      <c r="I126" s="66">
        <v>35</v>
      </c>
      <c r="J126" s="66">
        <v>38</v>
      </c>
      <c r="K126" s="66">
        <v>40</v>
      </c>
      <c r="L126" s="66">
        <v>50</v>
      </c>
      <c r="M126" s="66">
        <v>88</v>
      </c>
      <c r="N126" s="66">
        <v>147</v>
      </c>
      <c r="O126" s="66">
        <v>177</v>
      </c>
      <c r="P126" s="66">
        <v>206</v>
      </c>
      <c r="Q126" s="66">
        <v>206</v>
      </c>
      <c r="R126" s="66">
        <v>12</v>
      </c>
      <c r="S126" s="66">
        <v>47</v>
      </c>
    </row>
    <row r="127" spans="1:19" ht="15.75" customHeight="1">
      <c r="A127" s="10"/>
      <c r="B127" s="10" t="s">
        <v>22</v>
      </c>
      <c r="C127" s="10" t="s">
        <v>248</v>
      </c>
      <c r="D127" s="72" t="s">
        <v>339</v>
      </c>
      <c r="E127" s="73"/>
      <c r="F127" s="10"/>
      <c r="G127" s="10"/>
      <c r="H127" s="10" t="s">
        <v>460</v>
      </c>
      <c r="I127" s="66">
        <v>35</v>
      </c>
      <c r="J127" s="66">
        <v>38</v>
      </c>
      <c r="K127" s="66">
        <v>40</v>
      </c>
      <c r="L127" s="66">
        <v>50</v>
      </c>
      <c r="M127" s="66">
        <v>88</v>
      </c>
      <c r="N127" s="66">
        <v>147</v>
      </c>
      <c r="O127" s="66">
        <v>177</v>
      </c>
      <c r="P127" s="66">
        <v>206</v>
      </c>
      <c r="Q127" s="66">
        <v>206</v>
      </c>
      <c r="R127" s="66">
        <v>12</v>
      </c>
      <c r="S127" s="66">
        <v>47</v>
      </c>
    </row>
    <row r="128" spans="1:19" ht="15.75" customHeight="1">
      <c r="A128" s="10"/>
      <c r="B128" s="10" t="s">
        <v>22</v>
      </c>
      <c r="C128" s="10" t="s">
        <v>250</v>
      </c>
      <c r="D128" s="72" t="s">
        <v>339</v>
      </c>
      <c r="E128" s="73"/>
      <c r="F128" s="10"/>
      <c r="G128" s="10"/>
      <c r="H128" s="10" t="s">
        <v>534</v>
      </c>
      <c r="I128" s="66">
        <v>35</v>
      </c>
      <c r="J128" s="66">
        <v>38</v>
      </c>
      <c r="K128" s="66">
        <v>40</v>
      </c>
      <c r="L128" s="66">
        <v>50</v>
      </c>
      <c r="M128" s="66">
        <v>88</v>
      </c>
      <c r="N128" s="66">
        <v>147</v>
      </c>
      <c r="O128" s="66">
        <v>177</v>
      </c>
      <c r="P128" s="66">
        <v>206</v>
      </c>
      <c r="Q128" s="66">
        <v>206</v>
      </c>
      <c r="R128" s="66">
        <v>12</v>
      </c>
      <c r="S128" s="66">
        <v>47</v>
      </c>
    </row>
    <row r="129" spans="1:19" ht="15.75" customHeight="1">
      <c r="A129" s="10"/>
      <c r="B129" s="10" t="s">
        <v>22</v>
      </c>
      <c r="C129" s="10" t="s">
        <v>252</v>
      </c>
      <c r="D129" s="72" t="s">
        <v>339</v>
      </c>
      <c r="E129" s="73"/>
      <c r="F129" s="10"/>
      <c r="G129" s="10"/>
      <c r="H129" s="10" t="s">
        <v>464</v>
      </c>
      <c r="I129" s="66">
        <v>35</v>
      </c>
      <c r="J129" s="66">
        <v>38</v>
      </c>
      <c r="K129" s="66">
        <v>40</v>
      </c>
      <c r="L129" s="66">
        <v>50</v>
      </c>
      <c r="M129" s="66">
        <v>88</v>
      </c>
      <c r="N129" s="66">
        <v>147</v>
      </c>
      <c r="O129" s="66">
        <v>177</v>
      </c>
      <c r="P129" s="66">
        <v>206</v>
      </c>
      <c r="Q129" s="66">
        <v>206</v>
      </c>
      <c r="R129" s="66">
        <v>12</v>
      </c>
      <c r="S129" s="66">
        <v>47</v>
      </c>
    </row>
    <row r="130" spans="1:19" ht="15.75" customHeight="1">
      <c r="A130" s="10"/>
      <c r="B130" s="10" t="s">
        <v>22</v>
      </c>
      <c r="C130" s="10" t="s">
        <v>254</v>
      </c>
      <c r="D130" s="72" t="s">
        <v>339</v>
      </c>
      <c r="E130" s="73"/>
      <c r="F130" s="10"/>
      <c r="G130" s="10"/>
      <c r="H130" s="10" t="s">
        <v>535</v>
      </c>
      <c r="I130" s="66">
        <v>35</v>
      </c>
      <c r="J130" s="66">
        <v>38</v>
      </c>
      <c r="K130" s="66">
        <v>40</v>
      </c>
      <c r="L130" s="66">
        <v>50</v>
      </c>
      <c r="M130" s="66">
        <v>88</v>
      </c>
      <c r="N130" s="66">
        <v>147</v>
      </c>
      <c r="O130" s="66">
        <v>177</v>
      </c>
      <c r="P130" s="66">
        <v>206</v>
      </c>
      <c r="Q130" s="66">
        <v>206</v>
      </c>
      <c r="R130" s="66">
        <v>12</v>
      </c>
      <c r="S130" s="66">
        <v>47</v>
      </c>
    </row>
    <row r="131" spans="1:19" ht="15.75" customHeight="1">
      <c r="A131" s="10"/>
      <c r="B131" s="10" t="s">
        <v>22</v>
      </c>
      <c r="C131" s="10" t="s">
        <v>256</v>
      </c>
      <c r="D131" s="72" t="s">
        <v>339</v>
      </c>
      <c r="E131" s="73"/>
      <c r="F131" s="10"/>
      <c r="G131" s="10"/>
      <c r="H131" s="10" t="s">
        <v>535</v>
      </c>
      <c r="I131" s="66">
        <v>35</v>
      </c>
      <c r="J131" s="66">
        <v>38</v>
      </c>
      <c r="K131" s="66">
        <v>40</v>
      </c>
      <c r="L131" s="66">
        <v>50</v>
      </c>
      <c r="M131" s="66">
        <v>88</v>
      </c>
      <c r="N131" s="66">
        <v>147</v>
      </c>
      <c r="O131" s="66">
        <v>177</v>
      </c>
      <c r="P131" s="66">
        <v>206</v>
      </c>
      <c r="Q131" s="66">
        <v>206</v>
      </c>
      <c r="R131" s="66">
        <v>12</v>
      </c>
      <c r="S131" s="66">
        <v>47</v>
      </c>
    </row>
    <row r="132" spans="1:19" ht="15.75" customHeight="1">
      <c r="A132" s="10"/>
      <c r="B132" s="10" t="s">
        <v>22</v>
      </c>
      <c r="C132" s="10" t="s">
        <v>258</v>
      </c>
      <c r="D132" s="72" t="s">
        <v>339</v>
      </c>
      <c r="E132" s="73"/>
      <c r="F132" s="10"/>
      <c r="G132" s="10"/>
      <c r="H132" s="10" t="s">
        <v>536</v>
      </c>
      <c r="I132" s="66">
        <v>35</v>
      </c>
      <c r="J132" s="66">
        <v>38</v>
      </c>
      <c r="K132" s="66">
        <v>40</v>
      </c>
      <c r="L132" s="66">
        <v>50</v>
      </c>
      <c r="M132" s="66">
        <v>88</v>
      </c>
      <c r="N132" s="66">
        <v>147</v>
      </c>
      <c r="O132" s="66">
        <v>177</v>
      </c>
      <c r="P132" s="66">
        <v>206</v>
      </c>
      <c r="Q132" s="66">
        <v>206</v>
      </c>
      <c r="R132" s="66">
        <v>12</v>
      </c>
      <c r="S132" s="66">
        <v>47</v>
      </c>
    </row>
    <row r="133" spans="1:19" ht="15.75" customHeight="1">
      <c r="A133" s="10"/>
      <c r="B133" s="10" t="s">
        <v>22</v>
      </c>
      <c r="C133" s="10" t="s">
        <v>260</v>
      </c>
      <c r="D133" s="72" t="s">
        <v>339</v>
      </c>
      <c r="E133" s="73"/>
      <c r="F133" s="10"/>
      <c r="G133" s="10"/>
      <c r="H133" s="10" t="s">
        <v>464</v>
      </c>
      <c r="I133" s="66">
        <v>41</v>
      </c>
      <c r="J133" s="66">
        <v>47</v>
      </c>
      <c r="K133" s="66">
        <v>47</v>
      </c>
      <c r="L133" s="66">
        <v>59</v>
      </c>
      <c r="M133" s="66">
        <v>88</v>
      </c>
      <c r="N133" s="66">
        <v>147</v>
      </c>
      <c r="O133" s="66">
        <v>177</v>
      </c>
      <c r="P133" s="66">
        <v>206</v>
      </c>
      <c r="Q133" s="66">
        <v>206</v>
      </c>
      <c r="R133" s="66">
        <v>12</v>
      </c>
      <c r="S133" s="66">
        <v>47</v>
      </c>
    </row>
    <row r="134" spans="1:19" ht="15.75" customHeight="1">
      <c r="A134" s="10"/>
      <c r="B134" s="10" t="s">
        <v>22</v>
      </c>
      <c r="C134" s="10" t="s">
        <v>262</v>
      </c>
      <c r="D134" s="72" t="s">
        <v>339</v>
      </c>
      <c r="E134" s="73"/>
      <c r="F134" s="10"/>
      <c r="G134" s="10"/>
      <c r="H134" s="10" t="s">
        <v>464</v>
      </c>
      <c r="I134" s="66">
        <v>35</v>
      </c>
      <c r="J134" s="66">
        <v>38</v>
      </c>
      <c r="K134" s="66">
        <v>40</v>
      </c>
      <c r="L134" s="66">
        <v>50</v>
      </c>
      <c r="M134" s="66">
        <v>88</v>
      </c>
      <c r="N134" s="66">
        <v>147</v>
      </c>
      <c r="O134" s="66">
        <v>177</v>
      </c>
      <c r="P134" s="66">
        <v>206</v>
      </c>
      <c r="Q134" s="66">
        <v>206</v>
      </c>
      <c r="R134" s="66">
        <v>12</v>
      </c>
      <c r="S134" s="66">
        <v>47</v>
      </c>
    </row>
    <row r="135" spans="1:19" ht="15.75" customHeight="1">
      <c r="A135" s="10"/>
      <c r="B135" s="10" t="s">
        <v>22</v>
      </c>
      <c r="C135" s="10" t="s">
        <v>264</v>
      </c>
      <c r="D135" s="72" t="s">
        <v>339</v>
      </c>
      <c r="E135" s="73"/>
      <c r="F135" s="10"/>
      <c r="G135" s="10"/>
      <c r="H135" s="10"/>
      <c r="I135" s="66">
        <v>41</v>
      </c>
      <c r="J135" s="66">
        <v>47</v>
      </c>
      <c r="K135" s="66">
        <v>47</v>
      </c>
      <c r="L135" s="66">
        <v>59</v>
      </c>
      <c r="M135" s="66">
        <v>124</v>
      </c>
      <c r="N135" s="66">
        <v>147</v>
      </c>
      <c r="O135" s="66">
        <v>177</v>
      </c>
      <c r="P135" s="66">
        <v>206</v>
      </c>
      <c r="Q135" s="66">
        <v>206</v>
      </c>
      <c r="R135" s="66">
        <v>12</v>
      </c>
      <c r="S135" s="66">
        <v>47</v>
      </c>
    </row>
    <row r="136" spans="1:19" ht="15.75" customHeight="1">
      <c r="A136" s="10"/>
      <c r="B136" s="10" t="s">
        <v>22</v>
      </c>
      <c r="C136" s="10" t="s">
        <v>266</v>
      </c>
      <c r="D136" s="72" t="s">
        <v>339</v>
      </c>
      <c r="E136" s="73"/>
      <c r="F136" s="10"/>
      <c r="G136" s="10"/>
      <c r="H136" s="10" t="s">
        <v>536</v>
      </c>
      <c r="I136" s="66">
        <v>41</v>
      </c>
      <c r="J136" s="66">
        <v>47</v>
      </c>
      <c r="K136" s="66">
        <v>47</v>
      </c>
      <c r="L136" s="66">
        <v>59</v>
      </c>
      <c r="M136" s="66">
        <v>124</v>
      </c>
      <c r="N136" s="66">
        <v>147</v>
      </c>
      <c r="O136" s="66">
        <v>177</v>
      </c>
      <c r="P136" s="66">
        <v>206</v>
      </c>
      <c r="Q136" s="66">
        <v>206</v>
      </c>
      <c r="R136" s="66">
        <v>12</v>
      </c>
      <c r="S136" s="66">
        <v>47</v>
      </c>
    </row>
    <row r="137" spans="1:19" ht="15.75" customHeight="1">
      <c r="A137" s="10"/>
      <c r="B137" s="10" t="s">
        <v>22</v>
      </c>
      <c r="C137" s="10" t="s">
        <v>268</v>
      </c>
      <c r="D137" s="72" t="s">
        <v>339</v>
      </c>
      <c r="E137" s="73"/>
      <c r="F137" s="10"/>
      <c r="G137" s="10"/>
      <c r="H137" s="10" t="s">
        <v>536</v>
      </c>
      <c r="I137" s="66">
        <v>35</v>
      </c>
      <c r="J137" s="66">
        <v>38</v>
      </c>
      <c r="K137" s="66">
        <v>40</v>
      </c>
      <c r="L137" s="66">
        <v>50</v>
      </c>
      <c r="M137" s="66">
        <v>88</v>
      </c>
      <c r="N137" s="66">
        <v>147</v>
      </c>
      <c r="O137" s="66">
        <v>177</v>
      </c>
      <c r="P137" s="66">
        <v>206</v>
      </c>
      <c r="Q137" s="66">
        <v>206</v>
      </c>
      <c r="R137" s="66">
        <v>12</v>
      </c>
      <c r="S137" s="66">
        <v>47</v>
      </c>
    </row>
    <row r="138" spans="1:19" ht="15.75" customHeight="1">
      <c r="A138" s="10"/>
      <c r="B138" s="10" t="s">
        <v>22</v>
      </c>
      <c r="C138" s="10" t="s">
        <v>270</v>
      </c>
      <c r="D138" s="72" t="s">
        <v>339</v>
      </c>
      <c r="E138" s="73"/>
      <c r="F138" s="10"/>
      <c r="G138" s="10"/>
      <c r="H138" s="10"/>
      <c r="I138" s="66">
        <v>41</v>
      </c>
      <c r="J138" s="66">
        <v>47</v>
      </c>
      <c r="K138" s="66">
        <v>47</v>
      </c>
      <c r="L138" s="66">
        <v>59</v>
      </c>
      <c r="M138" s="66">
        <v>124</v>
      </c>
      <c r="N138" s="66">
        <v>147</v>
      </c>
      <c r="O138" s="66">
        <v>177</v>
      </c>
      <c r="P138" s="66">
        <v>206</v>
      </c>
      <c r="Q138" s="66">
        <v>206</v>
      </c>
      <c r="R138" s="66">
        <v>12</v>
      </c>
      <c r="S138" s="66">
        <v>47</v>
      </c>
    </row>
    <row r="139" spans="1:19" ht="15.75" customHeight="1">
      <c r="A139" s="10"/>
      <c r="B139" s="10" t="s">
        <v>22</v>
      </c>
      <c r="C139" s="10" t="s">
        <v>272</v>
      </c>
      <c r="D139" s="72" t="s">
        <v>339</v>
      </c>
      <c r="E139" s="73"/>
      <c r="F139" s="10"/>
      <c r="G139" s="10"/>
      <c r="H139" s="10"/>
      <c r="I139" s="66">
        <v>35</v>
      </c>
      <c r="J139" s="66">
        <v>38</v>
      </c>
      <c r="K139" s="66">
        <v>40</v>
      </c>
      <c r="L139" s="66">
        <v>50</v>
      </c>
      <c r="M139" s="66">
        <v>88</v>
      </c>
      <c r="N139" s="66">
        <v>147</v>
      </c>
      <c r="O139" s="66">
        <v>177</v>
      </c>
      <c r="P139" s="66">
        <v>206</v>
      </c>
      <c r="Q139" s="66">
        <v>206</v>
      </c>
      <c r="R139" s="66">
        <v>12</v>
      </c>
      <c r="S139" s="66">
        <v>47</v>
      </c>
    </row>
    <row r="140" spans="1:19" ht="15.75" customHeight="1">
      <c r="A140" s="10"/>
      <c r="B140" s="10" t="s">
        <v>21</v>
      </c>
      <c r="C140" s="10" t="s">
        <v>274</v>
      </c>
      <c r="D140" s="72" t="s">
        <v>339</v>
      </c>
      <c r="E140" s="73"/>
      <c r="F140" s="10"/>
      <c r="G140" s="10"/>
      <c r="H140" s="10" t="s">
        <v>522</v>
      </c>
      <c r="I140" s="66">
        <v>30</v>
      </c>
      <c r="J140" s="66">
        <v>30</v>
      </c>
      <c r="K140" s="66">
        <v>36</v>
      </c>
      <c r="L140" s="66">
        <v>48</v>
      </c>
      <c r="M140" s="66">
        <v>124</v>
      </c>
      <c r="N140" s="66">
        <v>147</v>
      </c>
      <c r="O140" s="66">
        <v>177</v>
      </c>
      <c r="P140" s="66">
        <v>206</v>
      </c>
      <c r="Q140" s="66">
        <v>206</v>
      </c>
      <c r="R140" s="66">
        <v>12</v>
      </c>
      <c r="S140" s="66">
        <v>47</v>
      </c>
    </row>
    <row r="141" spans="1:19" ht="15.75" customHeight="1">
      <c r="A141" s="10"/>
      <c r="B141" s="10" t="s">
        <v>21</v>
      </c>
      <c r="C141" s="10" t="s">
        <v>276</v>
      </c>
      <c r="D141" s="72" t="s">
        <v>339</v>
      </c>
      <c r="E141" s="73"/>
      <c r="F141" s="10"/>
      <c r="G141" s="10"/>
      <c r="H141" s="10" t="s">
        <v>537</v>
      </c>
      <c r="I141" s="66">
        <v>30</v>
      </c>
      <c r="J141" s="66">
        <v>30</v>
      </c>
      <c r="K141" s="66">
        <v>36</v>
      </c>
      <c r="L141" s="66">
        <v>48</v>
      </c>
      <c r="M141" s="66">
        <v>124</v>
      </c>
      <c r="N141" s="66">
        <v>147</v>
      </c>
      <c r="O141" s="66">
        <v>177</v>
      </c>
      <c r="P141" s="66">
        <v>206</v>
      </c>
      <c r="Q141" s="66">
        <v>206</v>
      </c>
      <c r="R141" s="66">
        <v>12</v>
      </c>
      <c r="S141" s="66">
        <v>47</v>
      </c>
    </row>
    <row r="142" spans="1:19" ht="15.75" customHeight="1">
      <c r="A142" s="10"/>
      <c r="B142" s="10" t="s">
        <v>22</v>
      </c>
      <c r="C142" s="10" t="s">
        <v>278</v>
      </c>
      <c r="D142" s="72" t="s">
        <v>339</v>
      </c>
      <c r="E142" s="73"/>
      <c r="F142" s="10"/>
      <c r="G142" s="10"/>
      <c r="H142" s="10" t="s">
        <v>538</v>
      </c>
      <c r="I142" s="66">
        <v>12</v>
      </c>
      <c r="J142" s="66">
        <v>18</v>
      </c>
      <c r="K142" s="66">
        <v>12</v>
      </c>
      <c r="L142" s="66">
        <v>24</v>
      </c>
      <c r="M142" s="66">
        <v>35</v>
      </c>
      <c r="N142" s="66">
        <v>47</v>
      </c>
      <c r="O142" s="66">
        <v>59</v>
      </c>
      <c r="P142" s="66">
        <v>74</v>
      </c>
      <c r="Q142" s="66">
        <v>74</v>
      </c>
      <c r="R142" s="66">
        <v>12</v>
      </c>
      <c r="S142" s="66">
        <v>24</v>
      </c>
    </row>
    <row r="143" spans="1:19" ht="15.75" customHeight="1">
      <c r="A143" s="23"/>
      <c r="B143" s="10" t="s">
        <v>22</v>
      </c>
      <c r="C143" s="10" t="s">
        <v>280</v>
      </c>
      <c r="D143" s="72" t="s">
        <v>339</v>
      </c>
      <c r="E143" s="73"/>
      <c r="F143" s="10"/>
      <c r="G143" s="10"/>
      <c r="H143" s="10" t="s">
        <v>539</v>
      </c>
      <c r="I143" s="66">
        <v>12</v>
      </c>
      <c r="J143" s="66">
        <v>18</v>
      </c>
      <c r="K143" s="66">
        <v>12</v>
      </c>
      <c r="L143" s="66">
        <v>24</v>
      </c>
      <c r="M143" s="66">
        <v>35</v>
      </c>
      <c r="N143" s="66">
        <v>47</v>
      </c>
      <c r="O143" s="66">
        <v>59</v>
      </c>
      <c r="P143" s="66">
        <v>74</v>
      </c>
      <c r="Q143" s="66">
        <v>74</v>
      </c>
      <c r="R143" s="66">
        <v>12</v>
      </c>
      <c r="S143" s="66">
        <v>24</v>
      </c>
    </row>
    <row r="144" spans="1:19" ht="15.75" customHeight="1">
      <c r="A144" s="23"/>
      <c r="B144" s="10" t="s">
        <v>282</v>
      </c>
      <c r="C144" s="10" t="s">
        <v>283</v>
      </c>
      <c r="D144" s="72" t="s">
        <v>339</v>
      </c>
      <c r="E144" s="73"/>
      <c r="F144" s="10"/>
      <c r="G144" s="10"/>
      <c r="H144" s="10" t="s">
        <v>542</v>
      </c>
      <c r="I144" s="66">
        <v>1</v>
      </c>
      <c r="J144" s="66">
        <v>1</v>
      </c>
      <c r="K144" s="66">
        <v>1</v>
      </c>
      <c r="L144" s="66">
        <v>1</v>
      </c>
      <c r="M144" s="66">
        <v>1</v>
      </c>
      <c r="N144" s="66">
        <v>1</v>
      </c>
      <c r="O144" s="66">
        <v>1</v>
      </c>
      <c r="P144" s="66">
        <v>1</v>
      </c>
      <c r="Q144" s="66">
        <v>1</v>
      </c>
      <c r="R144" s="66">
        <v>1</v>
      </c>
      <c r="S144" s="66">
        <v>1</v>
      </c>
    </row>
    <row r="145" spans="1:19" ht="15.75" customHeight="1">
      <c r="A145" s="23"/>
      <c r="B145" s="10" t="s">
        <v>22</v>
      </c>
      <c r="C145" s="10" t="s">
        <v>285</v>
      </c>
      <c r="D145" s="10" t="s">
        <v>36</v>
      </c>
      <c r="E145" s="10"/>
      <c r="F145" s="10"/>
      <c r="G145" s="10"/>
      <c r="H145" s="10" t="s">
        <v>540</v>
      </c>
      <c r="I145" s="66">
        <v>20</v>
      </c>
      <c r="J145" s="66">
        <v>30</v>
      </c>
      <c r="K145" s="66">
        <v>30</v>
      </c>
      <c r="L145" s="66">
        <v>30</v>
      </c>
      <c r="M145" s="66">
        <v>60</v>
      </c>
      <c r="N145" s="66">
        <v>89</v>
      </c>
      <c r="O145" s="66">
        <v>178</v>
      </c>
      <c r="P145" s="66">
        <v>237</v>
      </c>
      <c r="Q145" s="66">
        <v>237</v>
      </c>
      <c r="R145" s="66">
        <v>30</v>
      </c>
      <c r="S145" s="66">
        <v>65</v>
      </c>
    </row>
    <row r="146" spans="1:19" ht="15.75" customHeight="1">
      <c r="A146" s="23"/>
      <c r="B146" s="10" t="s">
        <v>22</v>
      </c>
      <c r="C146" s="10" t="s">
        <v>288</v>
      </c>
      <c r="D146" s="72" t="s">
        <v>339</v>
      </c>
      <c r="E146" s="73"/>
      <c r="F146" s="10"/>
      <c r="G146" s="10"/>
      <c r="H146" s="10" t="s">
        <v>541</v>
      </c>
      <c r="I146" s="66">
        <v>35</v>
      </c>
      <c r="J146" s="66">
        <v>38</v>
      </c>
      <c r="K146" s="66">
        <v>40</v>
      </c>
      <c r="L146" s="66">
        <v>50</v>
      </c>
      <c r="M146" s="66">
        <v>88</v>
      </c>
      <c r="N146" s="66">
        <v>147</v>
      </c>
      <c r="O146" s="66">
        <v>177</v>
      </c>
      <c r="P146" s="66">
        <v>206</v>
      </c>
      <c r="Q146" s="66">
        <v>206</v>
      </c>
      <c r="R146" s="66">
        <v>12</v>
      </c>
      <c r="S146" s="66">
        <v>47</v>
      </c>
    </row>
    <row r="147" spans="1:19" ht="15.75" customHeight="1">
      <c r="A147" s="23"/>
      <c r="B147" s="10" t="s">
        <v>22</v>
      </c>
      <c r="C147" s="10" t="s">
        <v>543</v>
      </c>
      <c r="D147" s="72" t="s">
        <v>339</v>
      </c>
      <c r="E147" s="73"/>
      <c r="F147" s="10"/>
      <c r="G147" s="10"/>
      <c r="H147" s="10" t="s">
        <v>618</v>
      </c>
      <c r="I147" s="66">
        <v>35</v>
      </c>
      <c r="J147" s="66">
        <v>38</v>
      </c>
      <c r="K147" s="66">
        <v>40</v>
      </c>
      <c r="L147" s="66">
        <v>50</v>
      </c>
      <c r="M147" s="66">
        <v>88</v>
      </c>
      <c r="N147" s="66">
        <v>147</v>
      </c>
      <c r="O147" s="66">
        <v>177</v>
      </c>
      <c r="P147" s="66">
        <v>206</v>
      </c>
      <c r="Q147" s="66">
        <v>206</v>
      </c>
      <c r="R147" s="66">
        <v>12</v>
      </c>
      <c r="S147" s="66">
        <v>47</v>
      </c>
    </row>
    <row r="148" spans="1:19" ht="15.75" customHeight="1">
      <c r="A148" s="23"/>
      <c r="B148" s="10" t="s">
        <v>22</v>
      </c>
      <c r="C148" s="10" t="s">
        <v>545</v>
      </c>
      <c r="D148" s="72" t="s">
        <v>339</v>
      </c>
      <c r="E148" s="73"/>
      <c r="F148" s="10"/>
      <c r="G148" s="10"/>
      <c r="H148" s="10" t="s">
        <v>619</v>
      </c>
      <c r="I148" s="66">
        <v>35</v>
      </c>
      <c r="J148" s="66">
        <v>38</v>
      </c>
      <c r="K148" s="66">
        <v>40</v>
      </c>
      <c r="L148" s="66">
        <v>50</v>
      </c>
      <c r="M148" s="66">
        <v>88</v>
      </c>
      <c r="N148" s="66">
        <v>147</v>
      </c>
      <c r="O148" s="66">
        <v>177</v>
      </c>
      <c r="P148" s="66">
        <v>206</v>
      </c>
      <c r="Q148" s="66">
        <v>206</v>
      </c>
      <c r="R148" s="66">
        <v>12</v>
      </c>
      <c r="S148" s="66">
        <v>47</v>
      </c>
    </row>
    <row r="149" spans="1:19" ht="15.75" customHeight="1">
      <c r="A149" s="23"/>
      <c r="B149" s="10" t="s">
        <v>22</v>
      </c>
      <c r="C149" s="10" t="s">
        <v>620</v>
      </c>
      <c r="D149" s="72" t="s">
        <v>339</v>
      </c>
      <c r="E149" s="73"/>
      <c r="F149" s="10"/>
      <c r="G149" s="10"/>
      <c r="H149" s="10" t="s">
        <v>621</v>
      </c>
      <c r="I149" s="66">
        <v>60</v>
      </c>
      <c r="J149" s="66">
        <v>60</v>
      </c>
      <c r="K149" s="66">
        <v>71</v>
      </c>
      <c r="L149" s="66">
        <v>71</v>
      </c>
      <c r="M149" s="66">
        <v>147</v>
      </c>
      <c r="N149" s="66">
        <v>147</v>
      </c>
      <c r="O149" s="66">
        <v>0</v>
      </c>
      <c r="P149" s="66">
        <v>0</v>
      </c>
      <c r="Q149" s="66">
        <v>0</v>
      </c>
      <c r="R149" s="66">
        <v>0</v>
      </c>
      <c r="S149" s="66">
        <v>0</v>
      </c>
    </row>
    <row r="150" spans="1:19" ht="15.75" customHeight="1">
      <c r="A150" s="23"/>
      <c r="B150" s="24"/>
      <c r="C150" s="24"/>
      <c r="D150" s="25"/>
      <c r="E150" s="26"/>
      <c r="F150" s="26"/>
      <c r="G150" s="26"/>
      <c r="H150" s="23"/>
      <c r="I150" s="27"/>
      <c r="J150" s="27"/>
      <c r="K150" s="27"/>
      <c r="L150" s="27"/>
      <c r="M150" s="27"/>
      <c r="N150" s="27"/>
      <c r="O150" s="27"/>
      <c r="P150" s="27"/>
      <c r="Q150" s="27"/>
      <c r="R150" s="27"/>
      <c r="S150" s="27"/>
    </row>
    <row r="151" spans="1:19" ht="15.75" customHeight="1">
      <c r="A151" s="23"/>
      <c r="B151" s="24"/>
      <c r="C151" s="24"/>
      <c r="D151" s="25"/>
      <c r="E151" s="26"/>
      <c r="F151" s="26"/>
      <c r="G151" s="26"/>
      <c r="H151" s="23"/>
      <c r="I151" s="27"/>
      <c r="J151" s="27"/>
      <c r="K151" s="27"/>
      <c r="L151" s="27"/>
      <c r="M151" s="27"/>
      <c r="N151" s="27"/>
      <c r="O151" s="27"/>
      <c r="P151" s="27"/>
      <c r="Q151" s="27"/>
      <c r="R151" s="27"/>
      <c r="S151" s="27"/>
    </row>
    <row r="152" spans="1:19" ht="15.75" customHeight="1">
      <c r="A152" s="23"/>
      <c r="B152" s="24"/>
      <c r="C152" s="24"/>
      <c r="D152" s="25"/>
      <c r="E152" s="26"/>
      <c r="F152" s="26"/>
      <c r="G152" s="26"/>
      <c r="H152" s="23"/>
      <c r="I152" s="27"/>
      <c r="J152" s="27"/>
      <c r="K152" s="27"/>
      <c r="L152" s="27"/>
      <c r="M152" s="27"/>
      <c r="N152" s="27"/>
      <c r="O152" s="27"/>
      <c r="P152" s="27"/>
      <c r="Q152" s="27"/>
      <c r="R152" s="27"/>
      <c r="S152" s="27"/>
    </row>
    <row r="153" spans="1:19" ht="15.75" customHeight="1">
      <c r="A153" s="23"/>
      <c r="B153" s="24"/>
      <c r="C153" s="24"/>
      <c r="D153" s="25"/>
      <c r="E153" s="26"/>
      <c r="F153" s="26"/>
      <c r="G153" s="26"/>
      <c r="H153" s="23"/>
      <c r="I153" s="27"/>
      <c r="J153" s="27"/>
      <c r="K153" s="27"/>
      <c r="L153" s="27"/>
      <c r="M153" s="27"/>
      <c r="N153" s="27"/>
      <c r="O153" s="27"/>
      <c r="P153" s="27"/>
      <c r="Q153" s="27"/>
      <c r="R153" s="27"/>
      <c r="S153" s="27"/>
    </row>
    <row r="154" spans="1:19" ht="15.75" customHeight="1">
      <c r="A154" s="23"/>
      <c r="B154" s="24"/>
      <c r="C154" s="24"/>
      <c r="D154" s="25"/>
      <c r="E154" s="26"/>
      <c r="F154" s="26"/>
      <c r="G154" s="26"/>
      <c r="H154" s="23"/>
      <c r="I154" s="27"/>
      <c r="J154" s="27"/>
      <c r="K154" s="27"/>
      <c r="L154" s="27"/>
      <c r="M154" s="27"/>
      <c r="N154" s="27"/>
      <c r="O154" s="27"/>
      <c r="P154" s="27"/>
      <c r="Q154" s="27"/>
      <c r="R154" s="27"/>
      <c r="S154" s="27"/>
    </row>
    <row r="155" spans="1:19" ht="15.75" customHeight="1">
      <c r="A155" s="23"/>
      <c r="B155" s="24"/>
      <c r="C155" s="24"/>
      <c r="D155" s="25"/>
      <c r="E155" s="26"/>
      <c r="F155" s="26"/>
      <c r="G155" s="26"/>
      <c r="H155" s="23"/>
      <c r="I155" s="27"/>
      <c r="J155" s="27"/>
      <c r="K155" s="27"/>
      <c r="L155" s="27"/>
      <c r="M155" s="27"/>
      <c r="N155" s="27"/>
      <c r="O155" s="27"/>
      <c r="P155" s="27"/>
      <c r="Q155" s="27"/>
      <c r="R155" s="27"/>
      <c r="S155" s="27"/>
    </row>
    <row r="156" spans="1:19" ht="15.75" customHeight="1">
      <c r="A156" s="23"/>
      <c r="B156" s="24"/>
      <c r="C156" s="24"/>
      <c r="D156" s="25"/>
      <c r="E156" s="26"/>
      <c r="F156" s="26"/>
      <c r="G156" s="26"/>
      <c r="H156" s="23"/>
      <c r="I156" s="27"/>
      <c r="J156" s="27"/>
      <c r="K156" s="27"/>
      <c r="L156" s="27"/>
      <c r="M156" s="27"/>
      <c r="N156" s="27"/>
      <c r="O156" s="27"/>
      <c r="P156" s="27"/>
      <c r="Q156" s="27"/>
      <c r="R156" s="27"/>
      <c r="S156" s="27"/>
    </row>
    <row r="157" spans="1:19" ht="15.75" customHeight="1">
      <c r="A157" s="23"/>
      <c r="B157" s="24"/>
      <c r="C157" s="24"/>
      <c r="D157" s="25"/>
      <c r="E157" s="26"/>
      <c r="F157" s="26"/>
      <c r="G157" s="26"/>
      <c r="H157" s="23"/>
      <c r="I157" s="27"/>
      <c r="J157" s="27"/>
      <c r="K157" s="27"/>
      <c r="L157" s="27"/>
      <c r="M157" s="27"/>
      <c r="N157" s="27"/>
      <c r="O157" s="27"/>
      <c r="P157" s="27"/>
      <c r="Q157" s="27"/>
      <c r="R157" s="27"/>
      <c r="S157" s="27"/>
    </row>
    <row r="158" spans="1:19" ht="15.75" customHeight="1">
      <c r="A158" s="23"/>
      <c r="B158" s="24"/>
      <c r="C158" s="24"/>
      <c r="D158" s="25"/>
      <c r="E158" s="26"/>
      <c r="F158" s="26"/>
      <c r="G158" s="26"/>
      <c r="H158" s="23"/>
      <c r="I158" s="27"/>
      <c r="J158" s="27"/>
      <c r="K158" s="27"/>
      <c r="L158" s="27"/>
      <c r="M158" s="27"/>
      <c r="N158" s="27"/>
      <c r="O158" s="27"/>
      <c r="P158" s="27"/>
      <c r="Q158" s="27"/>
      <c r="R158" s="27"/>
      <c r="S158" s="27"/>
    </row>
    <row r="159" spans="1:19" ht="15.75" customHeight="1">
      <c r="A159" s="23"/>
      <c r="B159" s="24"/>
      <c r="C159" s="24"/>
      <c r="D159" s="25"/>
      <c r="E159" s="26"/>
      <c r="F159" s="26"/>
      <c r="G159" s="26"/>
      <c r="H159" s="23"/>
      <c r="I159" s="27"/>
      <c r="J159" s="27"/>
      <c r="K159" s="27"/>
      <c r="L159" s="27"/>
      <c r="M159" s="27"/>
      <c r="N159" s="27"/>
      <c r="O159" s="27"/>
      <c r="P159" s="27"/>
      <c r="Q159" s="27"/>
      <c r="R159" s="27"/>
      <c r="S159" s="27"/>
    </row>
    <row r="160" spans="1:19" ht="15.75" customHeight="1">
      <c r="A160" s="23"/>
      <c r="B160" s="24"/>
      <c r="C160" s="24"/>
      <c r="D160" s="25"/>
      <c r="E160" s="26"/>
      <c r="F160" s="26"/>
      <c r="G160" s="26"/>
      <c r="H160" s="23"/>
      <c r="I160" s="27"/>
      <c r="J160" s="27"/>
      <c r="K160" s="27"/>
      <c r="L160" s="27"/>
      <c r="M160" s="27"/>
      <c r="N160" s="27"/>
      <c r="O160" s="27"/>
      <c r="P160" s="27"/>
      <c r="Q160" s="27"/>
      <c r="R160" s="27"/>
      <c r="S160" s="27"/>
    </row>
    <row r="161" spans="1:19" ht="15.75" customHeight="1">
      <c r="A161" s="23"/>
      <c r="B161" s="24"/>
      <c r="C161" s="24"/>
      <c r="D161" s="25"/>
      <c r="E161" s="26"/>
      <c r="F161" s="26"/>
      <c r="G161" s="26"/>
      <c r="H161" s="23"/>
      <c r="I161" s="27"/>
      <c r="J161" s="27"/>
      <c r="K161" s="27"/>
      <c r="L161" s="27"/>
      <c r="M161" s="27"/>
      <c r="N161" s="27"/>
      <c r="O161" s="27"/>
      <c r="P161" s="27"/>
      <c r="Q161" s="27"/>
      <c r="R161" s="27"/>
      <c r="S161" s="27"/>
    </row>
    <row r="162" spans="1:19" ht="15.75" customHeight="1"/>
    <row r="163" spans="1:19" ht="15.75" customHeight="1"/>
    <row r="164" spans="1:19" ht="15.75" customHeight="1"/>
    <row r="165" spans="1:19" ht="15.75" customHeight="1"/>
    <row r="166" spans="1:19" ht="15.75" customHeight="1"/>
    <row r="167" spans="1:19" ht="15.75" customHeight="1"/>
    <row r="168" spans="1:19" ht="15.75" customHeight="1"/>
    <row r="169" spans="1:19" ht="15.75" customHeight="1"/>
    <row r="170" spans="1:19" ht="15.75" customHeight="1"/>
    <row r="171" spans="1:19" ht="15.75" customHeight="1"/>
    <row r="172" spans="1:19" ht="15.75" customHeight="1"/>
    <row r="173" spans="1:19" ht="15.75" customHeight="1"/>
    <row r="174" spans="1:19" ht="15.75" customHeight="1"/>
    <row r="175" spans="1:19" ht="15.75" customHeight="1"/>
    <row r="176" spans="1:19"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09">
    <mergeCell ref="D128:E128"/>
    <mergeCell ref="D129:E129"/>
    <mergeCell ref="D130:E130"/>
    <mergeCell ref="D131:E131"/>
    <mergeCell ref="D132:E132"/>
    <mergeCell ref="D133:E133"/>
    <mergeCell ref="D134:E134"/>
    <mergeCell ref="D119:E119"/>
    <mergeCell ref="D120:E120"/>
    <mergeCell ref="D121:E121"/>
    <mergeCell ref="D122:E122"/>
    <mergeCell ref="D123:E123"/>
    <mergeCell ref="D124:E124"/>
    <mergeCell ref="D125:E125"/>
    <mergeCell ref="D126:E126"/>
    <mergeCell ref="D127:E127"/>
    <mergeCell ref="D110:E110"/>
    <mergeCell ref="D111:E111"/>
    <mergeCell ref="D112:E112"/>
    <mergeCell ref="D113:E113"/>
    <mergeCell ref="D114:E114"/>
    <mergeCell ref="D115:E115"/>
    <mergeCell ref="D116:E116"/>
    <mergeCell ref="D117:E117"/>
    <mergeCell ref="D118:E118"/>
    <mergeCell ref="D101:E101"/>
    <mergeCell ref="D102:E102"/>
    <mergeCell ref="D103:E103"/>
    <mergeCell ref="D104:E104"/>
    <mergeCell ref="D105:E105"/>
    <mergeCell ref="D106:E106"/>
    <mergeCell ref="D107:E107"/>
    <mergeCell ref="D108:E108"/>
    <mergeCell ref="D109:E109"/>
    <mergeCell ref="D143:E143"/>
    <mergeCell ref="D144:E144"/>
    <mergeCell ref="D146:E146"/>
    <mergeCell ref="D147:E147"/>
    <mergeCell ref="D148:E148"/>
    <mergeCell ref="D149:E149"/>
    <mergeCell ref="D135:E135"/>
    <mergeCell ref="D136:E136"/>
    <mergeCell ref="D137:E137"/>
    <mergeCell ref="D138:E138"/>
    <mergeCell ref="D139:E139"/>
    <mergeCell ref="D140:E140"/>
    <mergeCell ref="D141:E141"/>
    <mergeCell ref="D78:E78"/>
    <mergeCell ref="D79:E79"/>
    <mergeCell ref="D80:E80"/>
    <mergeCell ref="D81:E81"/>
    <mergeCell ref="D82:E82"/>
    <mergeCell ref="D83:E83"/>
    <mergeCell ref="D84:E84"/>
    <mergeCell ref="D85:E85"/>
    <mergeCell ref="D142:E142"/>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69:E69"/>
    <mergeCell ref="D70:E70"/>
    <mergeCell ref="D71:E71"/>
    <mergeCell ref="D72:E72"/>
    <mergeCell ref="D73:E73"/>
    <mergeCell ref="D74:E74"/>
    <mergeCell ref="D75:E75"/>
    <mergeCell ref="D76:E76"/>
    <mergeCell ref="D77:E77"/>
    <mergeCell ref="D60:E60"/>
    <mergeCell ref="D61:E61"/>
    <mergeCell ref="D62:E62"/>
    <mergeCell ref="D63:E63"/>
    <mergeCell ref="D64:E64"/>
    <mergeCell ref="D65:E65"/>
    <mergeCell ref="D66:E66"/>
    <mergeCell ref="D67:E67"/>
    <mergeCell ref="D68:E68"/>
    <mergeCell ref="D6:F6"/>
    <mergeCell ref="D7:F7"/>
    <mergeCell ref="D9:E9"/>
    <mergeCell ref="D54:E54"/>
    <mergeCell ref="D55:E55"/>
    <mergeCell ref="D56:E56"/>
    <mergeCell ref="D57:E57"/>
    <mergeCell ref="D58:E58"/>
    <mergeCell ref="D59:E59"/>
    <mergeCell ref="H1:H4"/>
    <mergeCell ref="I1:O1"/>
    <mergeCell ref="I2:O2"/>
    <mergeCell ref="I3:O3"/>
    <mergeCell ref="A1:A4"/>
    <mergeCell ref="B1:B4"/>
    <mergeCell ref="C1:C4"/>
    <mergeCell ref="D1:D4"/>
    <mergeCell ref="E1:E4"/>
    <mergeCell ref="F1:F4"/>
    <mergeCell ref="G1:G4"/>
  </mergeCells>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1000"/>
  <sheetViews>
    <sheetView zoomScale="49" zoomScaleNormal="100" workbookViewId="0">
      <selection activeCell="H59" sqref="H59"/>
    </sheetView>
  </sheetViews>
  <sheetFormatPr defaultColWidth="12.6328125" defaultRowHeight="15" customHeight="1"/>
  <cols>
    <col min="1" max="6" width="12.6328125" customWidth="1"/>
  </cols>
  <sheetData>
    <row r="1" spans="1:26" ht="15.75" customHeight="1">
      <c r="A1" s="68" t="s">
        <v>0</v>
      </c>
      <c r="B1" s="68" t="s">
        <v>1</v>
      </c>
      <c r="C1" s="68" t="s">
        <v>2</v>
      </c>
      <c r="D1" s="71" t="s">
        <v>3</v>
      </c>
      <c r="E1" s="68" t="s">
        <v>4</v>
      </c>
      <c r="F1" s="68" t="s">
        <v>5</v>
      </c>
      <c r="G1" s="68" t="s">
        <v>6</v>
      </c>
      <c r="H1" s="68" t="s">
        <v>7</v>
      </c>
      <c r="I1" s="74" t="s">
        <v>8</v>
      </c>
      <c r="J1" s="75"/>
      <c r="K1" s="75"/>
      <c r="L1" s="75"/>
      <c r="M1" s="75"/>
      <c r="N1" s="75"/>
      <c r="O1" s="76"/>
      <c r="P1" s="49"/>
      <c r="Q1" s="49"/>
      <c r="R1" s="49"/>
      <c r="S1" s="49"/>
      <c r="T1" s="50"/>
      <c r="U1" s="50"/>
      <c r="V1" s="50"/>
      <c r="W1" s="50"/>
      <c r="X1" s="50"/>
      <c r="Y1" s="50"/>
      <c r="Z1" s="50"/>
    </row>
    <row r="2" spans="1:26" ht="15.75" customHeight="1">
      <c r="A2" s="69"/>
      <c r="B2" s="69"/>
      <c r="C2" s="69"/>
      <c r="D2" s="69"/>
      <c r="E2" s="69"/>
      <c r="F2" s="69"/>
      <c r="G2" s="69"/>
      <c r="H2" s="69"/>
      <c r="I2" s="74" t="s">
        <v>328</v>
      </c>
      <c r="J2" s="75"/>
      <c r="K2" s="75"/>
      <c r="L2" s="75"/>
      <c r="M2" s="75"/>
      <c r="N2" s="75"/>
      <c r="O2" s="76"/>
      <c r="P2" s="49"/>
      <c r="Q2" s="49"/>
      <c r="R2" s="49"/>
      <c r="S2" s="49"/>
      <c r="T2" s="50"/>
      <c r="U2" s="50"/>
      <c r="V2" s="50"/>
      <c r="W2" s="50"/>
      <c r="X2" s="50"/>
      <c r="Y2" s="50"/>
      <c r="Z2" s="50"/>
    </row>
    <row r="3" spans="1:26" ht="15.75" customHeight="1">
      <c r="A3" s="69"/>
      <c r="B3" s="69"/>
      <c r="C3" s="69"/>
      <c r="D3" s="69"/>
      <c r="E3" s="69"/>
      <c r="F3" s="69"/>
      <c r="G3" s="69"/>
      <c r="H3" s="69"/>
      <c r="I3" s="74"/>
      <c r="J3" s="75"/>
      <c r="K3" s="75"/>
      <c r="L3" s="75"/>
      <c r="M3" s="75"/>
      <c r="N3" s="75"/>
      <c r="O3" s="76"/>
      <c r="P3" s="49"/>
      <c r="Q3" s="49"/>
      <c r="R3" s="49"/>
      <c r="S3" s="49"/>
      <c r="T3" s="50"/>
      <c r="U3" s="50"/>
      <c r="V3" s="50"/>
      <c r="W3" s="50"/>
      <c r="X3" s="50"/>
      <c r="Y3" s="50"/>
      <c r="Z3" s="50"/>
    </row>
    <row r="4" spans="1:26" ht="15.75" customHeight="1">
      <c r="A4" s="70"/>
      <c r="B4" s="70"/>
      <c r="C4" s="70"/>
      <c r="D4" s="70"/>
      <c r="E4" s="70"/>
      <c r="F4" s="70"/>
      <c r="G4" s="70"/>
      <c r="H4" s="70"/>
      <c r="I4" s="3" t="s">
        <v>10</v>
      </c>
      <c r="J4" s="3" t="s">
        <v>11</v>
      </c>
      <c r="K4" s="3" t="s">
        <v>12</v>
      </c>
      <c r="L4" s="3" t="s">
        <v>13</v>
      </c>
      <c r="M4" s="3" t="s">
        <v>14</v>
      </c>
      <c r="N4" s="3" t="s">
        <v>15</v>
      </c>
      <c r="O4" s="3" t="s">
        <v>16</v>
      </c>
      <c r="P4" s="3" t="s">
        <v>17</v>
      </c>
      <c r="Q4" s="3" t="s">
        <v>18</v>
      </c>
      <c r="R4" s="3" t="s">
        <v>19</v>
      </c>
      <c r="S4" s="3" t="s">
        <v>20</v>
      </c>
      <c r="T4" s="50"/>
      <c r="U4" s="50"/>
      <c r="V4" s="50"/>
      <c r="W4" s="50"/>
      <c r="X4" s="50"/>
      <c r="Y4" s="50"/>
      <c r="Z4" s="50"/>
    </row>
    <row r="5" spans="1:26" ht="15.75" customHeight="1">
      <c r="A5" s="4"/>
      <c r="B5" s="5"/>
      <c r="C5" s="5"/>
      <c r="D5" s="6"/>
      <c r="E5" s="7"/>
      <c r="F5" s="7"/>
      <c r="G5" s="7"/>
      <c r="H5" s="4"/>
      <c r="I5" s="49"/>
      <c r="J5" s="49"/>
      <c r="K5" s="49"/>
      <c r="L5" s="49"/>
      <c r="M5" s="51"/>
      <c r="N5" s="51"/>
      <c r="O5" s="51"/>
      <c r="P5" s="51"/>
      <c r="Q5" s="51"/>
      <c r="R5" s="51"/>
      <c r="S5" s="51"/>
      <c r="T5" s="50"/>
      <c r="U5" s="50"/>
      <c r="V5" s="50"/>
      <c r="W5" s="50"/>
      <c r="X5" s="50"/>
      <c r="Y5" s="50"/>
      <c r="Z5" s="50"/>
    </row>
    <row r="6" spans="1:26" ht="15.75" customHeight="1">
      <c r="A6" s="10"/>
      <c r="B6" s="10" t="s">
        <v>21</v>
      </c>
      <c r="C6" s="10" t="s">
        <v>22</v>
      </c>
      <c r="D6" s="72" t="s">
        <v>332</v>
      </c>
      <c r="E6" s="73"/>
      <c r="F6" s="73"/>
      <c r="G6" s="10"/>
      <c r="H6" s="10" t="s">
        <v>476</v>
      </c>
      <c r="I6" s="65">
        <v>12</v>
      </c>
      <c r="J6" s="66">
        <v>18</v>
      </c>
      <c r="K6" s="66">
        <v>12</v>
      </c>
      <c r="L6" s="66">
        <v>24</v>
      </c>
      <c r="M6" s="66">
        <v>35</v>
      </c>
      <c r="N6" s="66">
        <v>47</v>
      </c>
      <c r="O6" s="66">
        <v>59</v>
      </c>
      <c r="P6" s="66">
        <v>74</v>
      </c>
      <c r="Q6" s="66">
        <v>74</v>
      </c>
      <c r="R6" s="66">
        <v>12</v>
      </c>
      <c r="S6" s="66">
        <v>24</v>
      </c>
      <c r="T6" s="50"/>
      <c r="U6" s="50"/>
      <c r="V6" s="50"/>
      <c r="W6" s="50"/>
      <c r="X6" s="50"/>
      <c r="Y6" s="50"/>
      <c r="Z6" s="50"/>
    </row>
    <row r="7" spans="1:26" ht="15.75" customHeight="1">
      <c r="A7" s="10"/>
      <c r="B7" s="10" t="s">
        <v>21</v>
      </c>
      <c r="C7" s="10" t="s">
        <v>25</v>
      </c>
      <c r="D7" s="72" t="s">
        <v>335</v>
      </c>
      <c r="E7" s="73"/>
      <c r="F7" s="73"/>
      <c r="G7" s="10"/>
      <c r="H7" s="10" t="s">
        <v>336</v>
      </c>
      <c r="I7" s="65">
        <v>18</v>
      </c>
      <c r="J7" s="66">
        <v>24</v>
      </c>
      <c r="K7" s="66">
        <v>18</v>
      </c>
      <c r="L7" s="66">
        <v>30</v>
      </c>
      <c r="M7" s="66">
        <v>70</v>
      </c>
      <c r="N7" s="66">
        <v>94</v>
      </c>
      <c r="O7" s="66">
        <v>108</v>
      </c>
      <c r="P7" s="66">
        <v>148</v>
      </c>
      <c r="Q7" s="66">
        <v>148</v>
      </c>
      <c r="R7" s="66">
        <v>24</v>
      </c>
      <c r="S7" s="66">
        <v>48</v>
      </c>
      <c r="T7" s="50"/>
      <c r="U7" s="50"/>
      <c r="V7" s="50"/>
      <c r="W7" s="50"/>
      <c r="X7" s="50"/>
      <c r="Y7" s="50"/>
      <c r="Z7" s="50"/>
    </row>
    <row r="8" spans="1:26" ht="15.75" customHeight="1">
      <c r="A8" s="10"/>
      <c r="B8" s="10" t="s">
        <v>22</v>
      </c>
      <c r="C8" s="10" t="s">
        <v>29</v>
      </c>
      <c r="D8" s="10" t="s">
        <v>30</v>
      </c>
      <c r="E8" s="10"/>
      <c r="F8" s="10"/>
      <c r="G8" s="10"/>
      <c r="H8" s="10" t="s">
        <v>562</v>
      </c>
      <c r="I8" s="65">
        <v>41</v>
      </c>
      <c r="J8" s="65">
        <v>47</v>
      </c>
      <c r="K8" s="65">
        <v>53</v>
      </c>
      <c r="L8" s="65">
        <v>65</v>
      </c>
      <c r="M8" s="65">
        <v>165</v>
      </c>
      <c r="N8" s="66">
        <v>236</v>
      </c>
      <c r="O8" s="66">
        <v>295</v>
      </c>
      <c r="P8" s="66">
        <v>354</v>
      </c>
      <c r="Q8" s="65">
        <v>354</v>
      </c>
      <c r="R8" s="65">
        <v>12</v>
      </c>
      <c r="S8" s="65">
        <v>47</v>
      </c>
      <c r="T8" s="50"/>
      <c r="U8" s="50"/>
      <c r="V8" s="50"/>
      <c r="W8" s="50"/>
      <c r="X8" s="50"/>
      <c r="Y8" s="50"/>
      <c r="Z8" s="50"/>
    </row>
    <row r="9" spans="1:26" ht="15.75" customHeight="1">
      <c r="A9" s="10"/>
      <c r="B9" s="10" t="s">
        <v>22</v>
      </c>
      <c r="C9" s="10" t="s">
        <v>341</v>
      </c>
      <c r="D9" s="72" t="s">
        <v>34</v>
      </c>
      <c r="E9" s="73"/>
      <c r="F9" s="10"/>
      <c r="G9" s="10"/>
      <c r="H9" s="10" t="s">
        <v>563</v>
      </c>
      <c r="I9" s="65">
        <v>47</v>
      </c>
      <c r="J9" s="65" t="s">
        <v>622</v>
      </c>
      <c r="K9" s="65">
        <v>59</v>
      </c>
      <c r="L9" s="65">
        <v>71</v>
      </c>
      <c r="M9" s="65">
        <v>195</v>
      </c>
      <c r="N9" s="66">
        <v>295</v>
      </c>
      <c r="O9" s="66">
        <v>383</v>
      </c>
      <c r="P9" s="66">
        <v>427</v>
      </c>
      <c r="Q9" s="66">
        <v>427</v>
      </c>
      <c r="R9" s="66">
        <v>12</v>
      </c>
      <c r="S9" s="66">
        <v>47</v>
      </c>
      <c r="T9" s="50"/>
      <c r="U9" s="50"/>
      <c r="V9" s="50"/>
      <c r="W9" s="50"/>
      <c r="X9" s="50"/>
      <c r="Y9" s="50"/>
      <c r="Z9" s="50"/>
    </row>
    <row r="10" spans="1:26" ht="15.75" customHeight="1">
      <c r="A10" s="10"/>
      <c r="B10" s="10" t="s">
        <v>22</v>
      </c>
      <c r="C10" s="10" t="s">
        <v>29</v>
      </c>
      <c r="D10" s="10" t="s">
        <v>36</v>
      </c>
      <c r="E10" s="10"/>
      <c r="F10" s="10"/>
      <c r="G10" s="10"/>
      <c r="H10" s="10" t="s">
        <v>343</v>
      </c>
      <c r="I10" s="66">
        <v>77</v>
      </c>
      <c r="J10" s="65">
        <v>83</v>
      </c>
      <c r="K10" s="65">
        <v>89</v>
      </c>
      <c r="L10" s="65">
        <v>101</v>
      </c>
      <c r="M10" s="65">
        <v>225</v>
      </c>
      <c r="N10" s="66">
        <v>324</v>
      </c>
      <c r="O10" s="66">
        <v>445</v>
      </c>
      <c r="P10" s="65">
        <v>560</v>
      </c>
      <c r="Q10" s="65">
        <v>560</v>
      </c>
      <c r="R10" s="65">
        <v>30</v>
      </c>
      <c r="S10" s="65">
        <v>65</v>
      </c>
      <c r="T10" s="50"/>
      <c r="U10" s="50"/>
      <c r="V10" s="50"/>
      <c r="W10" s="50"/>
      <c r="X10" s="50"/>
      <c r="Y10" s="50"/>
      <c r="Z10" s="50"/>
    </row>
    <row r="11" spans="1:26" ht="15.75" customHeight="1">
      <c r="A11" s="10"/>
      <c r="B11" s="10"/>
      <c r="C11" s="10"/>
      <c r="D11" s="10"/>
      <c r="E11" s="10"/>
      <c r="F11" s="10"/>
      <c r="G11" s="10"/>
      <c r="H11" s="10"/>
      <c r="I11" s="10"/>
      <c r="J11" s="10"/>
      <c r="K11" s="10"/>
      <c r="L11" s="10"/>
      <c r="M11" s="13"/>
      <c r="N11" s="10"/>
      <c r="O11" s="10"/>
      <c r="P11" s="10"/>
      <c r="Q11" s="10"/>
      <c r="R11" s="10"/>
      <c r="S11" s="10"/>
      <c r="T11" s="50"/>
      <c r="U11" s="50"/>
      <c r="V11" s="50"/>
      <c r="W11" s="50"/>
      <c r="X11" s="50"/>
      <c r="Y11" s="50"/>
      <c r="Z11" s="50"/>
    </row>
    <row r="12" spans="1:26" ht="15.75" customHeight="1">
      <c r="A12" s="10"/>
      <c r="B12" s="10" t="s">
        <v>28</v>
      </c>
      <c r="C12" s="10" t="s">
        <v>38</v>
      </c>
      <c r="D12" s="10" t="s">
        <v>30</v>
      </c>
      <c r="E12" s="10"/>
      <c r="F12" s="10"/>
      <c r="G12" s="10"/>
      <c r="H12" s="10" t="s">
        <v>564</v>
      </c>
      <c r="I12" s="65">
        <v>71</v>
      </c>
      <c r="J12" s="65">
        <v>76</v>
      </c>
      <c r="K12" s="65">
        <v>80</v>
      </c>
      <c r="L12" s="65">
        <v>85</v>
      </c>
      <c r="M12" s="65">
        <v>195</v>
      </c>
      <c r="N12" s="66">
        <v>265</v>
      </c>
      <c r="O12" s="66">
        <v>324</v>
      </c>
      <c r="P12" s="65">
        <v>354</v>
      </c>
      <c r="Q12" s="65">
        <v>354</v>
      </c>
      <c r="R12" s="65">
        <v>12</v>
      </c>
      <c r="S12" s="65">
        <v>47</v>
      </c>
      <c r="T12" s="50"/>
      <c r="U12" s="50"/>
      <c r="V12" s="50"/>
      <c r="W12" s="50"/>
      <c r="X12" s="50"/>
      <c r="Y12" s="50"/>
      <c r="Z12" s="50"/>
    </row>
    <row r="13" spans="1:26" ht="15.75" customHeight="1">
      <c r="A13" s="10"/>
      <c r="B13" s="10" t="s">
        <v>28</v>
      </c>
      <c r="C13" s="10" t="s">
        <v>38</v>
      </c>
      <c r="D13" s="10" t="s">
        <v>36</v>
      </c>
      <c r="E13" s="10"/>
      <c r="F13" s="10"/>
      <c r="G13" s="10"/>
      <c r="H13" s="10" t="s">
        <v>565</v>
      </c>
      <c r="I13" s="66">
        <v>107</v>
      </c>
      <c r="J13" s="65">
        <v>112</v>
      </c>
      <c r="K13" s="65">
        <v>116</v>
      </c>
      <c r="L13" s="65">
        <v>121</v>
      </c>
      <c r="M13" s="65">
        <v>255</v>
      </c>
      <c r="N13" s="66">
        <v>353</v>
      </c>
      <c r="O13" s="66">
        <v>474</v>
      </c>
      <c r="P13" s="65">
        <v>560</v>
      </c>
      <c r="Q13" s="65">
        <v>560</v>
      </c>
      <c r="R13" s="65">
        <v>30</v>
      </c>
      <c r="S13" s="65">
        <v>65</v>
      </c>
      <c r="T13" s="50"/>
      <c r="U13" s="50"/>
      <c r="V13" s="50"/>
      <c r="W13" s="50"/>
      <c r="X13" s="50"/>
      <c r="Y13" s="50"/>
      <c r="Z13" s="50"/>
    </row>
    <row r="14" spans="1:26" ht="15.75" customHeight="1">
      <c r="A14" s="10"/>
      <c r="B14" s="10" t="s">
        <v>28</v>
      </c>
      <c r="C14" s="10" t="s">
        <v>41</v>
      </c>
      <c r="D14" s="10" t="s">
        <v>30</v>
      </c>
      <c r="E14" s="10"/>
      <c r="F14" s="10"/>
      <c r="G14" s="10"/>
      <c r="H14" s="10" t="s">
        <v>566</v>
      </c>
      <c r="I14" s="65">
        <v>71</v>
      </c>
      <c r="J14" s="65">
        <v>76</v>
      </c>
      <c r="K14" s="65">
        <v>80</v>
      </c>
      <c r="L14" s="65">
        <v>85</v>
      </c>
      <c r="M14" s="65">
        <v>195</v>
      </c>
      <c r="N14" s="66">
        <v>265</v>
      </c>
      <c r="O14" s="66">
        <v>324</v>
      </c>
      <c r="P14" s="65">
        <v>354</v>
      </c>
      <c r="Q14" s="66">
        <v>354</v>
      </c>
      <c r="R14" s="66">
        <v>12</v>
      </c>
      <c r="S14" s="66">
        <v>47</v>
      </c>
      <c r="T14" s="50"/>
      <c r="U14" s="50"/>
      <c r="V14" s="50"/>
      <c r="W14" s="50"/>
      <c r="X14" s="50"/>
      <c r="Y14" s="50"/>
      <c r="Z14" s="50"/>
    </row>
    <row r="15" spans="1:26" ht="15.75" customHeight="1">
      <c r="A15" s="10"/>
      <c r="B15" s="10" t="s">
        <v>28</v>
      </c>
      <c r="C15" s="10" t="s">
        <v>41</v>
      </c>
      <c r="D15" s="10" t="s">
        <v>36</v>
      </c>
      <c r="E15" s="10"/>
      <c r="F15" s="10"/>
      <c r="G15" s="10"/>
      <c r="H15" s="10" t="s">
        <v>567</v>
      </c>
      <c r="I15" s="66">
        <v>107</v>
      </c>
      <c r="J15" s="65">
        <v>112</v>
      </c>
      <c r="K15" s="65">
        <v>116</v>
      </c>
      <c r="L15" s="65">
        <v>121</v>
      </c>
      <c r="M15" s="65">
        <v>255</v>
      </c>
      <c r="N15" s="66">
        <v>353</v>
      </c>
      <c r="O15" s="66">
        <v>474</v>
      </c>
      <c r="P15" s="65">
        <v>560</v>
      </c>
      <c r="Q15" s="65">
        <v>560</v>
      </c>
      <c r="R15" s="65">
        <v>30</v>
      </c>
      <c r="S15" s="65">
        <v>65</v>
      </c>
      <c r="T15" s="50"/>
      <c r="U15" s="50"/>
      <c r="V15" s="50"/>
      <c r="W15" s="50"/>
      <c r="X15" s="50"/>
      <c r="Y15" s="50"/>
      <c r="Z15" s="50"/>
    </row>
    <row r="16" spans="1:26" ht="15.75" customHeight="1">
      <c r="A16" s="10"/>
      <c r="B16" s="10" t="s">
        <v>28</v>
      </c>
      <c r="C16" s="10" t="s">
        <v>477</v>
      </c>
      <c r="D16" s="10" t="s">
        <v>30</v>
      </c>
      <c r="E16" s="10"/>
      <c r="F16" s="10"/>
      <c r="G16" s="10"/>
      <c r="H16" s="10" t="s">
        <v>568</v>
      </c>
      <c r="I16" s="65">
        <v>71</v>
      </c>
      <c r="J16" s="65">
        <v>78</v>
      </c>
      <c r="K16" s="65">
        <v>82</v>
      </c>
      <c r="L16" s="65">
        <v>88</v>
      </c>
      <c r="M16" s="65">
        <v>230</v>
      </c>
      <c r="N16" s="66">
        <v>312</v>
      </c>
      <c r="O16" s="66">
        <v>383</v>
      </c>
      <c r="P16" s="65">
        <v>427</v>
      </c>
      <c r="Q16" s="66">
        <v>427</v>
      </c>
      <c r="R16" s="66">
        <v>12</v>
      </c>
      <c r="S16" s="66">
        <v>47</v>
      </c>
      <c r="T16" s="50"/>
      <c r="U16" s="50"/>
      <c r="V16" s="50"/>
      <c r="W16" s="50"/>
      <c r="X16" s="50"/>
      <c r="Y16" s="50"/>
      <c r="Z16" s="50"/>
    </row>
    <row r="17" spans="1:26" ht="15.75" customHeight="1">
      <c r="A17" s="10"/>
      <c r="B17" s="10" t="s">
        <v>28</v>
      </c>
      <c r="C17" s="10" t="s">
        <v>478</v>
      </c>
      <c r="D17" s="10" t="s">
        <v>30</v>
      </c>
      <c r="E17" s="10"/>
      <c r="F17" s="10"/>
      <c r="G17" s="10"/>
      <c r="H17" s="10" t="s">
        <v>351</v>
      </c>
      <c r="I17" s="65">
        <v>71</v>
      </c>
      <c r="J17" s="66">
        <v>78</v>
      </c>
      <c r="K17" s="66">
        <v>82</v>
      </c>
      <c r="L17" s="66">
        <v>88</v>
      </c>
      <c r="M17" s="66">
        <v>230</v>
      </c>
      <c r="N17" s="66">
        <v>312</v>
      </c>
      <c r="O17" s="66">
        <v>383</v>
      </c>
      <c r="P17" s="65">
        <v>427</v>
      </c>
      <c r="Q17" s="65">
        <v>427</v>
      </c>
      <c r="R17" s="65">
        <v>12</v>
      </c>
      <c r="S17" s="65">
        <v>47</v>
      </c>
      <c r="T17" s="50"/>
      <c r="U17" s="50"/>
      <c r="V17" s="50"/>
      <c r="W17" s="50"/>
      <c r="X17" s="50"/>
      <c r="Y17" s="50"/>
      <c r="Z17" s="50"/>
    </row>
    <row r="18" spans="1:26" ht="15.75" customHeight="1">
      <c r="A18" s="10"/>
      <c r="B18" s="10"/>
      <c r="C18" s="10"/>
      <c r="D18" s="10"/>
      <c r="E18" s="10"/>
      <c r="F18" s="10"/>
      <c r="G18" s="10"/>
      <c r="H18" s="10"/>
      <c r="I18" s="10"/>
      <c r="J18" s="10"/>
      <c r="K18" s="10"/>
      <c r="L18" s="10"/>
      <c r="M18" s="10"/>
      <c r="N18" s="10"/>
      <c r="O18" s="10"/>
      <c r="P18" s="10"/>
      <c r="Q18" s="10"/>
      <c r="R18" s="10"/>
      <c r="S18" s="10"/>
      <c r="T18" s="50"/>
      <c r="U18" s="50"/>
      <c r="V18" s="50"/>
      <c r="W18" s="50"/>
      <c r="X18" s="50"/>
      <c r="Y18" s="50"/>
      <c r="Z18" s="50"/>
    </row>
    <row r="19" spans="1:26" ht="15.75" customHeight="1">
      <c r="A19" s="10"/>
      <c r="B19" s="10" t="s">
        <v>28</v>
      </c>
      <c r="C19" s="10" t="s">
        <v>50</v>
      </c>
      <c r="D19" s="10" t="s">
        <v>30</v>
      </c>
      <c r="E19" s="10"/>
      <c r="F19" s="10"/>
      <c r="G19" s="10"/>
      <c r="H19" s="10" t="s">
        <v>569</v>
      </c>
      <c r="I19" s="66">
        <v>71</v>
      </c>
      <c r="J19" s="66">
        <v>76</v>
      </c>
      <c r="K19" s="66">
        <v>80</v>
      </c>
      <c r="L19" s="66">
        <v>85</v>
      </c>
      <c r="M19" s="66">
        <v>195</v>
      </c>
      <c r="N19" s="66">
        <v>295</v>
      </c>
      <c r="O19" s="66">
        <v>354</v>
      </c>
      <c r="P19" s="66">
        <v>412</v>
      </c>
      <c r="Q19" s="66">
        <v>412</v>
      </c>
      <c r="R19" s="66">
        <v>12</v>
      </c>
      <c r="S19" s="66">
        <v>47</v>
      </c>
      <c r="T19" s="50"/>
      <c r="U19" s="50"/>
      <c r="V19" s="50"/>
      <c r="W19" s="50"/>
      <c r="X19" s="50"/>
      <c r="Y19" s="50"/>
      <c r="Z19" s="50"/>
    </row>
    <row r="20" spans="1:26" ht="15.75" customHeight="1">
      <c r="A20" s="10"/>
      <c r="B20" s="10" t="s">
        <v>28</v>
      </c>
      <c r="C20" s="10" t="s">
        <v>50</v>
      </c>
      <c r="D20" s="10" t="s">
        <v>36</v>
      </c>
      <c r="E20" s="10"/>
      <c r="F20" s="10"/>
      <c r="G20" s="10"/>
      <c r="H20" s="10" t="s">
        <v>570</v>
      </c>
      <c r="I20" s="66">
        <v>107</v>
      </c>
      <c r="J20" s="65">
        <v>112</v>
      </c>
      <c r="K20" s="65">
        <v>116</v>
      </c>
      <c r="L20" s="65">
        <v>121</v>
      </c>
      <c r="M20" s="65">
        <v>255</v>
      </c>
      <c r="N20" s="66">
        <v>383</v>
      </c>
      <c r="O20" s="66">
        <v>504</v>
      </c>
      <c r="P20" s="65">
        <v>618</v>
      </c>
      <c r="Q20" s="65">
        <v>618</v>
      </c>
      <c r="R20" s="66">
        <v>30</v>
      </c>
      <c r="S20" s="66">
        <v>65</v>
      </c>
      <c r="T20" s="50"/>
      <c r="U20" s="50"/>
      <c r="V20" s="50"/>
      <c r="W20" s="50"/>
      <c r="X20" s="50"/>
      <c r="Y20" s="50"/>
      <c r="Z20" s="50"/>
    </row>
    <row r="21" spans="1:26" ht="15.75" customHeight="1">
      <c r="A21" s="10"/>
      <c r="B21" s="10" t="s">
        <v>28</v>
      </c>
      <c r="C21" s="10" t="s">
        <v>53</v>
      </c>
      <c r="D21" s="10" t="s">
        <v>30</v>
      </c>
      <c r="E21" s="10"/>
      <c r="F21" s="10"/>
      <c r="G21" s="10"/>
      <c r="H21" s="10" t="s">
        <v>479</v>
      </c>
      <c r="I21" s="66">
        <v>71</v>
      </c>
      <c r="J21" s="66">
        <v>76</v>
      </c>
      <c r="K21" s="66">
        <v>80</v>
      </c>
      <c r="L21" s="66">
        <v>85</v>
      </c>
      <c r="M21" s="66">
        <v>206</v>
      </c>
      <c r="N21" s="66">
        <v>295</v>
      </c>
      <c r="O21" s="66">
        <v>354</v>
      </c>
      <c r="P21" s="66">
        <v>412</v>
      </c>
      <c r="Q21" s="66">
        <v>412</v>
      </c>
      <c r="R21" s="66">
        <v>12</v>
      </c>
      <c r="S21" s="66">
        <v>47</v>
      </c>
      <c r="T21" s="50"/>
      <c r="U21" s="50"/>
      <c r="V21" s="50"/>
      <c r="W21" s="50"/>
      <c r="X21" s="50"/>
      <c r="Y21" s="50"/>
      <c r="Z21" s="50"/>
    </row>
    <row r="22" spans="1:26" ht="15.75" customHeight="1">
      <c r="A22" s="10"/>
      <c r="B22" s="10" t="s">
        <v>28</v>
      </c>
      <c r="C22" s="10" t="s">
        <v>53</v>
      </c>
      <c r="D22" s="10" t="s">
        <v>36</v>
      </c>
      <c r="E22" s="10"/>
      <c r="F22" s="10"/>
      <c r="G22" s="10"/>
      <c r="H22" s="10" t="s">
        <v>480</v>
      </c>
      <c r="I22" s="66">
        <v>107</v>
      </c>
      <c r="J22" s="65">
        <v>112</v>
      </c>
      <c r="K22" s="65">
        <v>116</v>
      </c>
      <c r="L22" s="65">
        <v>121</v>
      </c>
      <c r="M22" s="65">
        <v>255</v>
      </c>
      <c r="N22" s="66">
        <v>383</v>
      </c>
      <c r="O22" s="66">
        <v>504</v>
      </c>
      <c r="P22" s="65">
        <v>618</v>
      </c>
      <c r="Q22" s="65">
        <v>618</v>
      </c>
      <c r="R22" s="66">
        <v>30</v>
      </c>
      <c r="S22" s="66">
        <v>65</v>
      </c>
      <c r="T22" s="50"/>
      <c r="U22" s="50"/>
      <c r="V22" s="50"/>
      <c r="W22" s="50"/>
      <c r="X22" s="50"/>
      <c r="Y22" s="50"/>
      <c r="Z22" s="50"/>
    </row>
    <row r="23" spans="1:26" ht="15.75" customHeight="1">
      <c r="A23" s="10"/>
      <c r="B23" s="10" t="s">
        <v>28</v>
      </c>
      <c r="C23" s="10" t="s">
        <v>56</v>
      </c>
      <c r="D23" s="10" t="s">
        <v>30</v>
      </c>
      <c r="E23" s="10"/>
      <c r="F23" s="10"/>
      <c r="G23" s="10"/>
      <c r="H23" s="10" t="s">
        <v>357</v>
      </c>
      <c r="I23" s="66">
        <v>76</v>
      </c>
      <c r="J23" s="66">
        <v>80</v>
      </c>
      <c r="K23" s="66">
        <v>85</v>
      </c>
      <c r="L23" s="66">
        <v>90</v>
      </c>
      <c r="M23" s="66">
        <v>206</v>
      </c>
      <c r="N23" s="66">
        <v>295</v>
      </c>
      <c r="O23" s="66">
        <v>354</v>
      </c>
      <c r="P23" s="66">
        <v>412</v>
      </c>
      <c r="Q23" s="65">
        <v>412</v>
      </c>
      <c r="R23" s="66">
        <v>12</v>
      </c>
      <c r="S23" s="66">
        <v>47</v>
      </c>
      <c r="T23" s="50"/>
      <c r="U23" s="50"/>
      <c r="V23" s="50"/>
      <c r="W23" s="50"/>
      <c r="X23" s="50"/>
      <c r="Y23" s="50"/>
      <c r="Z23" s="50"/>
    </row>
    <row r="24" spans="1:26" ht="15.75" customHeight="1">
      <c r="A24" s="10"/>
      <c r="B24" s="10" t="s">
        <v>28</v>
      </c>
      <c r="C24" s="10" t="s">
        <v>56</v>
      </c>
      <c r="D24" s="10" t="s">
        <v>36</v>
      </c>
      <c r="E24" s="10"/>
      <c r="F24" s="10"/>
      <c r="G24" s="10"/>
      <c r="H24" s="10" t="s">
        <v>358</v>
      </c>
      <c r="I24" s="66">
        <v>112</v>
      </c>
      <c r="J24" s="65">
        <v>116</v>
      </c>
      <c r="K24" s="65">
        <v>121</v>
      </c>
      <c r="L24" s="65">
        <v>126</v>
      </c>
      <c r="M24" s="65">
        <v>266</v>
      </c>
      <c r="N24" s="66">
        <v>388</v>
      </c>
      <c r="O24" s="66">
        <v>504</v>
      </c>
      <c r="P24" s="65">
        <v>628</v>
      </c>
      <c r="Q24" s="65">
        <v>628</v>
      </c>
      <c r="R24" s="66">
        <v>30</v>
      </c>
      <c r="S24" s="66">
        <v>65</v>
      </c>
      <c r="T24" s="50"/>
      <c r="U24" s="50"/>
      <c r="V24" s="50"/>
      <c r="W24" s="50"/>
      <c r="X24" s="50"/>
      <c r="Y24" s="50"/>
      <c r="Z24" s="50"/>
    </row>
    <row r="25" spans="1:26" ht="15.75" customHeight="1">
      <c r="A25" s="10"/>
      <c r="B25" s="10"/>
      <c r="C25" s="10"/>
      <c r="D25" s="10"/>
      <c r="E25" s="10"/>
      <c r="F25" s="10"/>
      <c r="G25" s="10"/>
      <c r="H25" s="10"/>
      <c r="I25" s="10"/>
      <c r="J25" s="10"/>
      <c r="K25" s="10"/>
      <c r="L25" s="10"/>
      <c r="M25" s="10"/>
      <c r="N25" s="10"/>
      <c r="O25" s="10"/>
      <c r="P25" s="10"/>
      <c r="Q25" s="10"/>
      <c r="R25" s="10"/>
      <c r="S25" s="10"/>
      <c r="T25" s="50"/>
      <c r="U25" s="50"/>
      <c r="V25" s="50"/>
      <c r="W25" s="50"/>
      <c r="X25" s="50"/>
      <c r="Y25" s="50"/>
      <c r="Z25" s="50"/>
    </row>
    <row r="26" spans="1:26" ht="15.75" customHeight="1">
      <c r="A26" s="10"/>
      <c r="B26" s="10" t="s">
        <v>28</v>
      </c>
      <c r="C26" s="10" t="s">
        <v>59</v>
      </c>
      <c r="D26" s="10" t="s">
        <v>30</v>
      </c>
      <c r="E26" s="10"/>
      <c r="F26" s="10"/>
      <c r="G26" s="10"/>
      <c r="H26" s="10" t="s">
        <v>359</v>
      </c>
      <c r="I26" s="66">
        <v>71</v>
      </c>
      <c r="J26" s="66">
        <v>76</v>
      </c>
      <c r="K26" s="66">
        <v>80</v>
      </c>
      <c r="L26" s="66">
        <v>85</v>
      </c>
      <c r="M26" s="66">
        <v>195</v>
      </c>
      <c r="N26" s="66">
        <v>265</v>
      </c>
      <c r="O26" s="66">
        <v>324</v>
      </c>
      <c r="P26" s="66">
        <v>354</v>
      </c>
      <c r="Q26" s="66">
        <v>354</v>
      </c>
      <c r="R26" s="66">
        <v>12</v>
      </c>
      <c r="S26" s="66">
        <v>47</v>
      </c>
      <c r="T26" s="50"/>
      <c r="U26" s="50"/>
      <c r="V26" s="50"/>
      <c r="W26" s="50"/>
      <c r="X26" s="50"/>
      <c r="Y26" s="50"/>
      <c r="Z26" s="50"/>
    </row>
    <row r="27" spans="1:26" ht="15.75" customHeight="1">
      <c r="A27" s="10"/>
      <c r="B27" s="10" t="s">
        <v>28</v>
      </c>
      <c r="C27" s="10" t="s">
        <v>59</v>
      </c>
      <c r="D27" s="10" t="s">
        <v>36</v>
      </c>
      <c r="E27" s="10"/>
      <c r="F27" s="10"/>
      <c r="G27" s="10"/>
      <c r="H27" s="10" t="s">
        <v>360</v>
      </c>
      <c r="I27" s="66">
        <v>107</v>
      </c>
      <c r="J27" s="65">
        <v>112</v>
      </c>
      <c r="K27" s="65">
        <v>116</v>
      </c>
      <c r="L27" s="65">
        <v>121</v>
      </c>
      <c r="M27" s="65">
        <v>255</v>
      </c>
      <c r="N27" s="66">
        <v>383</v>
      </c>
      <c r="O27" s="66">
        <v>504</v>
      </c>
      <c r="P27" s="65">
        <v>618</v>
      </c>
      <c r="Q27" s="65">
        <v>618</v>
      </c>
      <c r="R27" s="66">
        <v>30</v>
      </c>
      <c r="S27" s="66">
        <v>65</v>
      </c>
      <c r="T27" s="50"/>
      <c r="U27" s="50"/>
      <c r="V27" s="50"/>
      <c r="W27" s="50"/>
      <c r="X27" s="50"/>
      <c r="Y27" s="50"/>
      <c r="Z27" s="50"/>
    </row>
    <row r="28" spans="1:26" ht="15.75" customHeight="1">
      <c r="A28" s="10"/>
      <c r="B28" s="10" t="s">
        <v>28</v>
      </c>
      <c r="C28" s="10" t="s">
        <v>62</v>
      </c>
      <c r="D28" s="10" t="s">
        <v>30</v>
      </c>
      <c r="E28" s="10"/>
      <c r="F28" s="10"/>
      <c r="G28" s="10"/>
      <c r="H28" s="10" t="s">
        <v>361</v>
      </c>
      <c r="I28" s="66">
        <v>71</v>
      </c>
      <c r="J28" s="66">
        <v>76</v>
      </c>
      <c r="K28" s="66">
        <v>80</v>
      </c>
      <c r="L28" s="66">
        <v>85</v>
      </c>
      <c r="M28" s="66">
        <v>195</v>
      </c>
      <c r="N28" s="66">
        <v>265</v>
      </c>
      <c r="O28" s="66">
        <v>324</v>
      </c>
      <c r="P28" s="66">
        <v>383</v>
      </c>
      <c r="Q28" s="66">
        <v>383</v>
      </c>
      <c r="R28" s="66">
        <v>12</v>
      </c>
      <c r="S28" s="66">
        <v>47</v>
      </c>
      <c r="T28" s="50"/>
      <c r="U28" s="50"/>
      <c r="V28" s="50"/>
      <c r="W28" s="50"/>
      <c r="X28" s="50"/>
      <c r="Y28" s="50"/>
      <c r="Z28" s="50"/>
    </row>
    <row r="29" spans="1:26" ht="15.75" customHeight="1">
      <c r="A29" s="10"/>
      <c r="B29" s="10" t="s">
        <v>28</v>
      </c>
      <c r="C29" s="10" t="s">
        <v>62</v>
      </c>
      <c r="D29" s="10" t="s">
        <v>36</v>
      </c>
      <c r="E29" s="10"/>
      <c r="F29" s="10"/>
      <c r="G29" s="10"/>
      <c r="H29" s="10" t="s">
        <v>362</v>
      </c>
      <c r="I29" s="66">
        <v>107</v>
      </c>
      <c r="J29" s="65">
        <v>112</v>
      </c>
      <c r="K29" s="65">
        <v>116</v>
      </c>
      <c r="L29" s="65">
        <v>121</v>
      </c>
      <c r="M29" s="65">
        <v>255</v>
      </c>
      <c r="N29" s="66">
        <v>383</v>
      </c>
      <c r="O29" s="66">
        <v>504</v>
      </c>
      <c r="P29" s="65">
        <v>618</v>
      </c>
      <c r="Q29" s="65">
        <v>618</v>
      </c>
      <c r="R29" s="66">
        <v>30</v>
      </c>
      <c r="S29" s="66">
        <v>65</v>
      </c>
      <c r="T29" s="50"/>
      <c r="U29" s="50"/>
      <c r="V29" s="50"/>
      <c r="W29" s="50"/>
      <c r="X29" s="50"/>
      <c r="Y29" s="50"/>
      <c r="Z29" s="50"/>
    </row>
    <row r="30" spans="1:26" ht="15.75" customHeight="1">
      <c r="A30" s="10"/>
      <c r="B30" s="10" t="s">
        <v>28</v>
      </c>
      <c r="C30" s="10" t="s">
        <v>65</v>
      </c>
      <c r="D30" s="10" t="s">
        <v>30</v>
      </c>
      <c r="E30" s="10"/>
      <c r="F30" s="10"/>
      <c r="G30" s="10"/>
      <c r="H30" s="10" t="s">
        <v>363</v>
      </c>
      <c r="I30" s="66">
        <v>71</v>
      </c>
      <c r="J30" s="66">
        <v>76</v>
      </c>
      <c r="K30" s="66">
        <v>80</v>
      </c>
      <c r="L30" s="66">
        <v>85</v>
      </c>
      <c r="M30" s="66">
        <v>195</v>
      </c>
      <c r="N30" s="66">
        <v>265</v>
      </c>
      <c r="O30" s="66">
        <v>324</v>
      </c>
      <c r="P30" s="66">
        <v>383</v>
      </c>
      <c r="Q30" s="65">
        <v>383</v>
      </c>
      <c r="R30" s="66">
        <v>12</v>
      </c>
      <c r="S30" s="66">
        <v>47</v>
      </c>
      <c r="T30" s="50"/>
      <c r="U30" s="50"/>
      <c r="V30" s="50"/>
      <c r="W30" s="50"/>
      <c r="X30" s="50"/>
      <c r="Y30" s="50"/>
      <c r="Z30" s="50"/>
    </row>
    <row r="31" spans="1:26" ht="15.75" customHeight="1">
      <c r="A31" s="10"/>
      <c r="B31" s="10" t="s">
        <v>28</v>
      </c>
      <c r="C31" s="10" t="s">
        <v>65</v>
      </c>
      <c r="D31" s="10" t="s">
        <v>36</v>
      </c>
      <c r="E31" s="10"/>
      <c r="F31" s="10"/>
      <c r="G31" s="10"/>
      <c r="H31" s="10" t="s">
        <v>364</v>
      </c>
      <c r="I31" s="66">
        <v>107</v>
      </c>
      <c r="J31" s="65">
        <v>112</v>
      </c>
      <c r="K31" s="65">
        <v>116</v>
      </c>
      <c r="L31" s="65">
        <v>121</v>
      </c>
      <c r="M31" s="65">
        <v>255</v>
      </c>
      <c r="N31" s="66">
        <v>383</v>
      </c>
      <c r="O31" s="66">
        <v>474</v>
      </c>
      <c r="P31" s="65">
        <v>589</v>
      </c>
      <c r="Q31" s="65">
        <v>589</v>
      </c>
      <c r="R31" s="66">
        <v>30</v>
      </c>
      <c r="S31" s="66">
        <v>65</v>
      </c>
      <c r="T31" s="50"/>
      <c r="U31" s="50"/>
      <c r="V31" s="50"/>
      <c r="W31" s="50"/>
      <c r="X31" s="50"/>
      <c r="Y31" s="50"/>
      <c r="Z31" s="50"/>
    </row>
    <row r="32" spans="1:26" ht="15.75" customHeight="1">
      <c r="A32" s="10"/>
      <c r="B32" s="10" t="s">
        <v>28</v>
      </c>
      <c r="C32" s="10" t="s">
        <v>68</v>
      </c>
      <c r="D32" s="10" t="s">
        <v>30</v>
      </c>
      <c r="E32" s="10"/>
      <c r="F32" s="10"/>
      <c r="G32" s="10"/>
      <c r="H32" s="10" t="s">
        <v>365</v>
      </c>
      <c r="I32" s="66">
        <v>71</v>
      </c>
      <c r="J32" s="66">
        <v>76</v>
      </c>
      <c r="K32" s="66">
        <v>80</v>
      </c>
      <c r="L32" s="66">
        <v>85</v>
      </c>
      <c r="M32" s="66">
        <v>195</v>
      </c>
      <c r="N32" s="66">
        <v>265</v>
      </c>
      <c r="O32" s="66">
        <v>324</v>
      </c>
      <c r="P32" s="66">
        <v>354</v>
      </c>
      <c r="Q32" s="65">
        <v>354</v>
      </c>
      <c r="R32" s="66">
        <v>12</v>
      </c>
      <c r="S32" s="66">
        <v>47</v>
      </c>
      <c r="T32" s="50"/>
      <c r="U32" s="50"/>
      <c r="V32" s="50"/>
      <c r="W32" s="50"/>
      <c r="X32" s="50"/>
      <c r="Y32" s="50"/>
      <c r="Z32" s="50"/>
    </row>
    <row r="33" spans="1:26" ht="15.75" customHeight="1">
      <c r="A33" s="10"/>
      <c r="B33" s="10" t="s">
        <v>28</v>
      </c>
      <c r="C33" s="10" t="s">
        <v>68</v>
      </c>
      <c r="D33" s="10" t="s">
        <v>36</v>
      </c>
      <c r="E33" s="10"/>
      <c r="F33" s="10"/>
      <c r="G33" s="10"/>
      <c r="H33" s="10" t="s">
        <v>366</v>
      </c>
      <c r="I33" s="66">
        <v>107</v>
      </c>
      <c r="J33" s="65">
        <v>112</v>
      </c>
      <c r="K33" s="65">
        <v>116</v>
      </c>
      <c r="L33" s="65">
        <v>121</v>
      </c>
      <c r="M33" s="65">
        <v>255</v>
      </c>
      <c r="N33" s="66">
        <v>353</v>
      </c>
      <c r="O33" s="66">
        <v>150</v>
      </c>
      <c r="P33" s="65">
        <v>560</v>
      </c>
      <c r="Q33" s="65">
        <v>560</v>
      </c>
      <c r="R33" s="66">
        <v>30</v>
      </c>
      <c r="S33" s="66">
        <v>65</v>
      </c>
      <c r="T33" s="50"/>
      <c r="U33" s="50"/>
      <c r="V33" s="50"/>
      <c r="W33" s="50"/>
      <c r="X33" s="50"/>
      <c r="Y33" s="50"/>
      <c r="Z33" s="50"/>
    </row>
    <row r="34" spans="1:26" ht="15.75" customHeight="1">
      <c r="A34" s="10"/>
      <c r="B34" s="10"/>
      <c r="C34" s="10"/>
      <c r="D34" s="10"/>
      <c r="E34" s="10"/>
      <c r="F34" s="10"/>
      <c r="G34" s="10"/>
      <c r="H34" s="10"/>
      <c r="I34" s="10"/>
      <c r="J34" s="10"/>
      <c r="K34" s="10"/>
      <c r="L34" s="10"/>
      <c r="M34" s="10"/>
      <c r="N34" s="10"/>
      <c r="O34" s="10"/>
      <c r="P34" s="10"/>
      <c r="Q34" s="10"/>
      <c r="R34" s="10"/>
      <c r="S34" s="10"/>
      <c r="T34" s="50"/>
      <c r="U34" s="50"/>
      <c r="V34" s="50"/>
      <c r="W34" s="50"/>
      <c r="X34" s="50"/>
      <c r="Y34" s="50"/>
      <c r="Z34" s="50"/>
    </row>
    <row r="35" spans="1:26" ht="15.75" customHeight="1">
      <c r="A35" s="10"/>
      <c r="B35" s="10" t="s">
        <v>28</v>
      </c>
      <c r="C35" s="10" t="s">
        <v>367</v>
      </c>
      <c r="D35" s="10" t="s">
        <v>30</v>
      </c>
      <c r="E35" s="10"/>
      <c r="F35" s="10"/>
      <c r="G35" s="10"/>
      <c r="H35" s="10" t="s">
        <v>571</v>
      </c>
      <c r="I35" s="66">
        <v>77</v>
      </c>
      <c r="J35" s="66">
        <v>83</v>
      </c>
      <c r="K35" s="66">
        <v>101</v>
      </c>
      <c r="L35" s="66">
        <v>112</v>
      </c>
      <c r="M35" s="66">
        <v>300</v>
      </c>
      <c r="N35" s="66">
        <v>207</v>
      </c>
      <c r="O35" s="66">
        <v>412</v>
      </c>
      <c r="P35" s="66">
        <v>471</v>
      </c>
      <c r="Q35" s="66">
        <v>471</v>
      </c>
      <c r="R35" s="66">
        <v>12</v>
      </c>
      <c r="S35" s="66">
        <v>47</v>
      </c>
      <c r="T35" s="50"/>
      <c r="U35" s="50"/>
      <c r="V35" s="50"/>
      <c r="W35" s="50"/>
      <c r="X35" s="50"/>
      <c r="Y35" s="50"/>
      <c r="Z35" s="50"/>
    </row>
    <row r="36" spans="1:26" ht="15.75" customHeight="1">
      <c r="A36" s="10"/>
      <c r="B36" s="10" t="s">
        <v>28</v>
      </c>
      <c r="C36" s="10" t="s">
        <v>76</v>
      </c>
      <c r="D36" s="10" t="s">
        <v>30</v>
      </c>
      <c r="E36" s="10"/>
      <c r="F36" s="10"/>
      <c r="G36" s="10"/>
      <c r="H36" s="10" t="s">
        <v>572</v>
      </c>
      <c r="I36" s="66">
        <v>77</v>
      </c>
      <c r="J36" s="66">
        <v>83</v>
      </c>
      <c r="K36" s="66">
        <v>101</v>
      </c>
      <c r="L36" s="66">
        <v>112</v>
      </c>
      <c r="M36" s="66">
        <v>265</v>
      </c>
      <c r="N36" s="66">
        <v>354</v>
      </c>
      <c r="O36" s="66">
        <v>412</v>
      </c>
      <c r="P36" s="66">
        <v>471</v>
      </c>
      <c r="Q36" s="65">
        <v>471</v>
      </c>
      <c r="R36" s="66">
        <v>12</v>
      </c>
      <c r="S36" s="66">
        <v>47</v>
      </c>
      <c r="T36" s="50"/>
      <c r="U36" s="50"/>
      <c r="V36" s="50"/>
      <c r="W36" s="50"/>
      <c r="X36" s="50"/>
      <c r="Y36" s="50"/>
      <c r="Z36" s="50"/>
    </row>
    <row r="37" spans="1:26" ht="15.75" customHeight="1">
      <c r="A37" s="10"/>
      <c r="B37" s="10" t="s">
        <v>28</v>
      </c>
      <c r="C37" s="10" t="s">
        <v>76</v>
      </c>
      <c r="D37" s="10" t="s">
        <v>36</v>
      </c>
      <c r="E37" s="10"/>
      <c r="F37" s="10"/>
      <c r="G37" s="10"/>
      <c r="H37" s="10" t="s">
        <v>573</v>
      </c>
      <c r="I37" s="66">
        <v>113</v>
      </c>
      <c r="J37" s="65">
        <v>119</v>
      </c>
      <c r="K37" s="65">
        <v>137</v>
      </c>
      <c r="L37" s="65">
        <v>148</v>
      </c>
      <c r="M37" s="65">
        <v>325</v>
      </c>
      <c r="N37" s="66">
        <v>442</v>
      </c>
      <c r="O37" s="66">
        <v>709</v>
      </c>
      <c r="P37" s="65">
        <v>677</v>
      </c>
      <c r="Q37" s="65">
        <v>677</v>
      </c>
      <c r="R37" s="66">
        <v>30</v>
      </c>
      <c r="S37" s="66">
        <v>65</v>
      </c>
      <c r="T37" s="50"/>
      <c r="U37" s="50"/>
      <c r="V37" s="50"/>
      <c r="W37" s="50"/>
      <c r="X37" s="50"/>
      <c r="Y37" s="50"/>
      <c r="Z37" s="50"/>
    </row>
    <row r="38" spans="1:26" ht="15.75" customHeight="1">
      <c r="A38" s="10"/>
      <c r="B38" s="10" t="s">
        <v>28</v>
      </c>
      <c r="C38" s="10" t="s">
        <v>78</v>
      </c>
      <c r="D38" s="10" t="s">
        <v>30</v>
      </c>
      <c r="E38" s="10"/>
      <c r="F38" s="10"/>
      <c r="G38" s="10"/>
      <c r="H38" s="10" t="s">
        <v>574</v>
      </c>
      <c r="I38" s="66">
        <v>77</v>
      </c>
      <c r="J38" s="66">
        <v>83</v>
      </c>
      <c r="K38" s="66">
        <v>101</v>
      </c>
      <c r="L38" s="66">
        <v>112</v>
      </c>
      <c r="M38" s="66">
        <v>265</v>
      </c>
      <c r="N38" s="66">
        <v>354</v>
      </c>
      <c r="O38" s="66">
        <v>412</v>
      </c>
      <c r="P38" s="66">
        <v>471</v>
      </c>
      <c r="Q38" s="66">
        <v>471</v>
      </c>
      <c r="R38" s="66">
        <v>12</v>
      </c>
      <c r="S38" s="66">
        <v>47</v>
      </c>
      <c r="T38" s="50"/>
      <c r="U38" s="50"/>
      <c r="V38" s="50"/>
      <c r="W38" s="50"/>
      <c r="X38" s="50"/>
      <c r="Y38" s="50"/>
      <c r="Z38" s="50"/>
    </row>
    <row r="39" spans="1:26" ht="15.75" customHeight="1">
      <c r="A39" s="10"/>
      <c r="B39" s="10" t="s">
        <v>28</v>
      </c>
      <c r="C39" s="10" t="s">
        <v>78</v>
      </c>
      <c r="D39" s="10" t="s">
        <v>36</v>
      </c>
      <c r="E39" s="10"/>
      <c r="F39" s="10"/>
      <c r="G39" s="10"/>
      <c r="H39" s="10" t="s">
        <v>575</v>
      </c>
      <c r="I39" s="66">
        <v>113</v>
      </c>
      <c r="J39" s="65">
        <v>119</v>
      </c>
      <c r="K39" s="65">
        <v>137</v>
      </c>
      <c r="L39" s="65">
        <v>148</v>
      </c>
      <c r="M39" s="65">
        <v>325</v>
      </c>
      <c r="N39" s="66">
        <v>442</v>
      </c>
      <c r="O39" s="66">
        <v>709</v>
      </c>
      <c r="P39" s="65">
        <v>677</v>
      </c>
      <c r="Q39" s="65">
        <v>677</v>
      </c>
      <c r="R39" s="66">
        <v>30</v>
      </c>
      <c r="S39" s="66">
        <v>65</v>
      </c>
      <c r="T39" s="50"/>
      <c r="U39" s="50"/>
      <c r="V39" s="50"/>
      <c r="W39" s="50"/>
      <c r="X39" s="50"/>
      <c r="Y39" s="50"/>
      <c r="Z39" s="50"/>
    </row>
    <row r="40" spans="1:26" ht="15.75" customHeight="1">
      <c r="A40" s="10"/>
      <c r="B40" s="10" t="s">
        <v>28</v>
      </c>
      <c r="C40" s="10" t="s">
        <v>81</v>
      </c>
      <c r="D40" s="10" t="s">
        <v>30</v>
      </c>
      <c r="E40" s="10"/>
      <c r="F40" s="10"/>
      <c r="G40" s="10"/>
      <c r="H40" s="10" t="s">
        <v>373</v>
      </c>
      <c r="I40" s="66">
        <v>77</v>
      </c>
      <c r="J40" s="66">
        <v>83</v>
      </c>
      <c r="K40" s="66">
        <v>101</v>
      </c>
      <c r="L40" s="66">
        <v>112</v>
      </c>
      <c r="M40" s="66">
        <v>295</v>
      </c>
      <c r="N40" s="66">
        <v>383</v>
      </c>
      <c r="O40" s="66">
        <v>442</v>
      </c>
      <c r="P40" s="66">
        <v>500</v>
      </c>
      <c r="Q40" s="65">
        <v>500</v>
      </c>
      <c r="R40" s="66">
        <v>12</v>
      </c>
      <c r="S40" s="66">
        <v>47</v>
      </c>
      <c r="T40" s="50"/>
      <c r="U40" s="50"/>
      <c r="V40" s="50"/>
      <c r="W40" s="50"/>
      <c r="X40" s="50"/>
      <c r="Y40" s="50"/>
      <c r="Z40" s="50"/>
    </row>
    <row r="41" spans="1:26" ht="15.75" customHeight="1">
      <c r="A41" s="10"/>
      <c r="B41" s="10" t="s">
        <v>28</v>
      </c>
      <c r="C41" s="10" t="s">
        <v>81</v>
      </c>
      <c r="D41" s="10" t="s">
        <v>36</v>
      </c>
      <c r="E41" s="10"/>
      <c r="F41" s="10"/>
      <c r="G41" s="10"/>
      <c r="H41" s="10" t="s">
        <v>374</v>
      </c>
      <c r="I41" s="66">
        <v>113</v>
      </c>
      <c r="J41" s="65">
        <v>119</v>
      </c>
      <c r="K41" s="65">
        <v>137</v>
      </c>
      <c r="L41" s="65">
        <v>148</v>
      </c>
      <c r="M41" s="65">
        <v>355</v>
      </c>
      <c r="N41" s="66">
        <v>471</v>
      </c>
      <c r="O41" s="66">
        <v>768</v>
      </c>
      <c r="P41" s="65">
        <v>706</v>
      </c>
      <c r="Q41" s="65">
        <v>706</v>
      </c>
      <c r="R41" s="66">
        <v>30</v>
      </c>
      <c r="S41" s="66">
        <v>65</v>
      </c>
      <c r="T41" s="50"/>
      <c r="U41" s="50"/>
      <c r="V41" s="50"/>
      <c r="W41" s="50"/>
      <c r="X41" s="50"/>
      <c r="Y41" s="50"/>
      <c r="Z41" s="50"/>
    </row>
    <row r="42" spans="1:26" ht="15.75" customHeight="1">
      <c r="A42" s="10"/>
      <c r="B42" s="10" t="s">
        <v>28</v>
      </c>
      <c r="C42" s="10" t="s">
        <v>84</v>
      </c>
      <c r="D42" s="10" t="s">
        <v>30</v>
      </c>
      <c r="E42" s="10"/>
      <c r="F42" s="10"/>
      <c r="G42" s="10"/>
      <c r="H42" s="10" t="s">
        <v>375</v>
      </c>
      <c r="I42" s="66">
        <v>77</v>
      </c>
      <c r="J42" s="66">
        <v>83</v>
      </c>
      <c r="K42" s="66">
        <v>101</v>
      </c>
      <c r="L42" s="66">
        <v>112</v>
      </c>
      <c r="M42" s="66">
        <v>295</v>
      </c>
      <c r="N42" s="66">
        <v>383</v>
      </c>
      <c r="O42" s="66">
        <v>442</v>
      </c>
      <c r="P42" s="66">
        <v>500</v>
      </c>
      <c r="Q42" s="65">
        <v>500</v>
      </c>
      <c r="R42" s="66">
        <v>12</v>
      </c>
      <c r="S42" s="66">
        <v>47</v>
      </c>
      <c r="T42" s="50"/>
      <c r="U42" s="50"/>
      <c r="V42" s="50"/>
      <c r="W42" s="50"/>
      <c r="X42" s="50"/>
      <c r="Y42" s="50"/>
      <c r="Z42" s="50"/>
    </row>
    <row r="43" spans="1:26" ht="15.75" customHeight="1">
      <c r="A43" s="10"/>
      <c r="B43" s="10" t="s">
        <v>28</v>
      </c>
      <c r="C43" s="10" t="s">
        <v>84</v>
      </c>
      <c r="D43" s="10" t="s">
        <v>36</v>
      </c>
      <c r="E43" s="10"/>
      <c r="F43" s="10"/>
      <c r="G43" s="10"/>
      <c r="H43" s="10" t="s">
        <v>376</v>
      </c>
      <c r="I43" s="66">
        <v>113</v>
      </c>
      <c r="J43" s="65">
        <v>119</v>
      </c>
      <c r="K43" s="65">
        <v>137</v>
      </c>
      <c r="L43" s="65">
        <v>148</v>
      </c>
      <c r="M43" s="65">
        <v>355</v>
      </c>
      <c r="N43" s="66">
        <v>471</v>
      </c>
      <c r="O43" s="66">
        <v>768</v>
      </c>
      <c r="P43" s="65">
        <v>706</v>
      </c>
      <c r="Q43" s="65">
        <v>706</v>
      </c>
      <c r="R43" s="66">
        <v>30</v>
      </c>
      <c r="S43" s="66">
        <v>65</v>
      </c>
      <c r="T43" s="50"/>
      <c r="U43" s="50"/>
      <c r="V43" s="50"/>
      <c r="W43" s="50"/>
      <c r="X43" s="50"/>
      <c r="Y43" s="50"/>
      <c r="Z43" s="50"/>
    </row>
    <row r="44" spans="1:26" ht="15.75" customHeight="1">
      <c r="A44" s="10"/>
      <c r="B44" s="10"/>
      <c r="C44" s="10"/>
      <c r="D44" s="10"/>
      <c r="E44" s="10"/>
      <c r="F44" s="10"/>
      <c r="G44" s="10"/>
      <c r="H44" s="10"/>
      <c r="I44" s="10"/>
      <c r="J44" s="10"/>
      <c r="K44" s="10"/>
      <c r="L44" s="10"/>
      <c r="M44" s="10"/>
      <c r="N44" s="10"/>
      <c r="O44" s="10"/>
      <c r="P44" s="10"/>
      <c r="Q44" s="10"/>
      <c r="R44" s="10"/>
      <c r="S44" s="10"/>
      <c r="T44" s="50"/>
      <c r="U44" s="50"/>
      <c r="V44" s="50"/>
      <c r="W44" s="50"/>
      <c r="X44" s="50"/>
      <c r="Y44" s="50"/>
      <c r="Z44" s="50"/>
    </row>
    <row r="45" spans="1:26" ht="15.75" customHeight="1">
      <c r="A45" s="10"/>
      <c r="B45" s="10" t="s">
        <v>50</v>
      </c>
      <c r="C45" s="10" t="s">
        <v>53</v>
      </c>
      <c r="D45" s="10" t="s">
        <v>30</v>
      </c>
      <c r="E45" s="10"/>
      <c r="F45" s="10"/>
      <c r="G45" s="10"/>
      <c r="H45" s="10" t="s">
        <v>377</v>
      </c>
      <c r="I45" s="66">
        <v>30</v>
      </c>
      <c r="J45" s="66">
        <v>36</v>
      </c>
      <c r="K45" s="66">
        <v>47</v>
      </c>
      <c r="L45" s="66">
        <v>59</v>
      </c>
      <c r="M45" s="66">
        <v>100</v>
      </c>
      <c r="N45" s="66">
        <v>120</v>
      </c>
      <c r="O45" s="66">
        <v>120</v>
      </c>
      <c r="P45" s="66">
        <v>200</v>
      </c>
      <c r="Q45" s="66">
        <v>200</v>
      </c>
      <c r="R45" s="66">
        <v>12</v>
      </c>
      <c r="S45" s="66">
        <v>47</v>
      </c>
      <c r="T45" s="50"/>
      <c r="U45" s="50"/>
      <c r="V45" s="50"/>
      <c r="W45" s="50"/>
      <c r="X45" s="50"/>
      <c r="Y45" s="50"/>
      <c r="Z45" s="50"/>
    </row>
    <row r="46" spans="1:26" ht="15.75" customHeight="1">
      <c r="A46" s="10"/>
      <c r="B46" s="10" t="s">
        <v>50</v>
      </c>
      <c r="C46" s="10" t="s">
        <v>76</v>
      </c>
      <c r="D46" s="10" t="s">
        <v>30</v>
      </c>
      <c r="E46" s="10"/>
      <c r="F46" s="10"/>
      <c r="G46" s="10"/>
      <c r="H46" s="10" t="s">
        <v>576</v>
      </c>
      <c r="I46" s="66">
        <v>30</v>
      </c>
      <c r="J46" s="66">
        <v>36</v>
      </c>
      <c r="K46" s="66">
        <v>47</v>
      </c>
      <c r="L46" s="66">
        <v>59</v>
      </c>
      <c r="M46" s="66">
        <v>100</v>
      </c>
      <c r="N46" s="66">
        <v>120</v>
      </c>
      <c r="O46" s="66">
        <v>147</v>
      </c>
      <c r="P46" s="66">
        <v>177</v>
      </c>
      <c r="Q46" s="66">
        <v>177</v>
      </c>
      <c r="R46" s="66">
        <v>12</v>
      </c>
      <c r="S46" s="66">
        <v>47</v>
      </c>
      <c r="T46" s="50"/>
      <c r="U46" s="50"/>
      <c r="V46" s="50"/>
      <c r="W46" s="50"/>
      <c r="X46" s="50"/>
      <c r="Y46" s="50"/>
      <c r="Z46" s="50"/>
    </row>
    <row r="47" spans="1:26" ht="15.75" customHeight="1">
      <c r="A47" s="10"/>
      <c r="B47" s="10" t="s">
        <v>28</v>
      </c>
      <c r="C47" s="10" t="s">
        <v>379</v>
      </c>
      <c r="D47" s="10" t="s">
        <v>30</v>
      </c>
      <c r="E47" s="10"/>
      <c r="F47" s="10"/>
      <c r="G47" s="10"/>
      <c r="H47" s="10" t="s">
        <v>380</v>
      </c>
      <c r="I47" s="66">
        <v>30</v>
      </c>
      <c r="J47" s="66">
        <v>36</v>
      </c>
      <c r="K47" s="66">
        <v>47</v>
      </c>
      <c r="L47" s="66">
        <v>59</v>
      </c>
      <c r="M47" s="66">
        <v>165</v>
      </c>
      <c r="N47" s="66">
        <v>236</v>
      </c>
      <c r="O47" s="66">
        <v>295</v>
      </c>
      <c r="P47" s="66">
        <v>354</v>
      </c>
      <c r="Q47" s="66">
        <v>354</v>
      </c>
      <c r="R47" s="66">
        <v>12</v>
      </c>
      <c r="S47" s="66">
        <v>47</v>
      </c>
      <c r="T47" s="50"/>
      <c r="U47" s="50"/>
      <c r="V47" s="50"/>
      <c r="W47" s="50"/>
      <c r="X47" s="50"/>
      <c r="Y47" s="50"/>
      <c r="Z47" s="50"/>
    </row>
    <row r="48" spans="1:26" ht="15.75" customHeight="1">
      <c r="A48" s="10"/>
      <c r="B48" s="10" t="s">
        <v>28</v>
      </c>
      <c r="C48" s="10" t="s">
        <v>91</v>
      </c>
      <c r="D48" s="10" t="s">
        <v>30</v>
      </c>
      <c r="E48" s="10"/>
      <c r="F48" s="10"/>
      <c r="G48" s="10"/>
      <c r="H48" s="10" t="s">
        <v>381</v>
      </c>
      <c r="I48" s="66">
        <v>65</v>
      </c>
      <c r="J48" s="66">
        <v>71</v>
      </c>
      <c r="K48" s="66">
        <v>112</v>
      </c>
      <c r="L48" s="66">
        <v>124</v>
      </c>
      <c r="M48" s="66">
        <v>324</v>
      </c>
      <c r="N48" s="66">
        <v>412</v>
      </c>
      <c r="O48" s="66">
        <v>471</v>
      </c>
      <c r="P48" s="66">
        <v>530</v>
      </c>
      <c r="Q48" s="66">
        <v>530</v>
      </c>
      <c r="R48" s="66">
        <v>12</v>
      </c>
      <c r="S48" s="66">
        <v>47</v>
      </c>
      <c r="T48" s="50"/>
      <c r="U48" s="50"/>
      <c r="V48" s="50"/>
      <c r="W48" s="50"/>
      <c r="X48" s="50"/>
      <c r="Y48" s="50"/>
      <c r="Z48" s="50"/>
    </row>
    <row r="49" spans="1:26" ht="15.75" customHeight="1">
      <c r="A49" s="10"/>
      <c r="B49" s="10" t="s">
        <v>28</v>
      </c>
      <c r="C49" s="10" t="s">
        <v>94</v>
      </c>
      <c r="D49" s="10" t="s">
        <v>30</v>
      </c>
      <c r="E49" s="10"/>
      <c r="F49" s="10"/>
      <c r="G49" s="10"/>
      <c r="H49" s="10" t="s">
        <v>382</v>
      </c>
      <c r="I49" s="66">
        <v>89</v>
      </c>
      <c r="J49" s="66">
        <v>95</v>
      </c>
      <c r="K49" s="66">
        <v>112</v>
      </c>
      <c r="L49" s="66">
        <v>124</v>
      </c>
      <c r="M49" s="66">
        <v>324</v>
      </c>
      <c r="N49" s="66">
        <v>412</v>
      </c>
      <c r="O49" s="66">
        <v>471</v>
      </c>
      <c r="P49" s="66">
        <v>530</v>
      </c>
      <c r="Q49" s="66">
        <v>530</v>
      </c>
      <c r="R49" s="66">
        <v>12</v>
      </c>
      <c r="S49" s="66">
        <v>47</v>
      </c>
      <c r="T49" s="50"/>
      <c r="U49" s="50"/>
      <c r="V49" s="50"/>
      <c r="W49" s="50"/>
      <c r="X49" s="50"/>
      <c r="Y49" s="50"/>
      <c r="Z49" s="50"/>
    </row>
    <row r="50" spans="1:26" ht="15.75" customHeight="1">
      <c r="A50" s="10"/>
      <c r="B50" s="10" t="s">
        <v>50</v>
      </c>
      <c r="C50" s="10" t="s">
        <v>97</v>
      </c>
      <c r="D50" s="10" t="s">
        <v>30</v>
      </c>
      <c r="E50" s="10"/>
      <c r="F50" s="10"/>
      <c r="G50" s="10"/>
      <c r="H50" s="10" t="s">
        <v>577</v>
      </c>
      <c r="I50" s="66">
        <v>71</v>
      </c>
      <c r="J50" s="66">
        <v>77</v>
      </c>
      <c r="K50" s="66">
        <v>89</v>
      </c>
      <c r="L50" s="66">
        <v>101</v>
      </c>
      <c r="M50" s="66">
        <v>147</v>
      </c>
      <c r="N50" s="66">
        <v>165</v>
      </c>
      <c r="O50" s="66">
        <v>177</v>
      </c>
      <c r="P50" s="66">
        <v>206</v>
      </c>
      <c r="Q50" s="66">
        <v>206</v>
      </c>
      <c r="R50" s="66">
        <v>12</v>
      </c>
      <c r="S50" s="66">
        <v>47</v>
      </c>
      <c r="T50" s="50"/>
      <c r="U50" s="50"/>
      <c r="V50" s="50"/>
      <c r="W50" s="50"/>
      <c r="X50" s="50"/>
      <c r="Y50" s="50"/>
      <c r="Z50" s="50"/>
    </row>
    <row r="51" spans="1:26" ht="15.75" customHeight="1">
      <c r="A51" s="10"/>
      <c r="B51" s="10" t="s">
        <v>76</v>
      </c>
      <c r="C51" s="10" t="s">
        <v>78</v>
      </c>
      <c r="D51" s="10" t="s">
        <v>30</v>
      </c>
      <c r="E51" s="10"/>
      <c r="F51" s="10"/>
      <c r="G51" s="10"/>
      <c r="H51" s="10" t="s">
        <v>578</v>
      </c>
      <c r="I51" s="66">
        <v>59</v>
      </c>
      <c r="J51" s="66">
        <v>65</v>
      </c>
      <c r="K51" s="66">
        <v>71</v>
      </c>
      <c r="L51" s="66">
        <v>83</v>
      </c>
      <c r="M51" s="66">
        <v>118</v>
      </c>
      <c r="N51" s="66">
        <v>130</v>
      </c>
      <c r="O51" s="66">
        <v>147</v>
      </c>
      <c r="P51" s="66">
        <v>177</v>
      </c>
      <c r="Q51" s="66">
        <v>177</v>
      </c>
      <c r="R51" s="66">
        <v>12</v>
      </c>
      <c r="S51" s="66">
        <v>47</v>
      </c>
      <c r="T51" s="50"/>
      <c r="U51" s="50"/>
      <c r="V51" s="50"/>
      <c r="W51" s="50"/>
      <c r="X51" s="50"/>
      <c r="Y51" s="50"/>
      <c r="Z51" s="50"/>
    </row>
    <row r="52" spans="1:26" ht="15.75" customHeight="1">
      <c r="A52" s="10"/>
      <c r="B52" s="10" t="s">
        <v>76</v>
      </c>
      <c r="C52" s="10" t="s">
        <v>94</v>
      </c>
      <c r="D52" s="10" t="s">
        <v>30</v>
      </c>
      <c r="E52" s="10"/>
      <c r="F52" s="10"/>
      <c r="G52" s="10"/>
      <c r="H52" s="10" t="s">
        <v>385</v>
      </c>
      <c r="I52" s="66">
        <v>36</v>
      </c>
      <c r="J52" s="66">
        <v>44</v>
      </c>
      <c r="K52" s="66">
        <v>71</v>
      </c>
      <c r="L52" s="66">
        <v>83</v>
      </c>
      <c r="M52" s="66">
        <v>100</v>
      </c>
      <c r="N52" s="66">
        <v>147</v>
      </c>
      <c r="O52" s="66">
        <v>177</v>
      </c>
      <c r="P52" s="66">
        <v>177</v>
      </c>
      <c r="Q52" s="66">
        <v>177</v>
      </c>
      <c r="R52" s="66">
        <v>12</v>
      </c>
      <c r="S52" s="66">
        <v>47</v>
      </c>
      <c r="T52" s="50"/>
      <c r="U52" s="50"/>
      <c r="V52" s="50"/>
      <c r="W52" s="50"/>
      <c r="X52" s="50"/>
      <c r="Y52" s="50"/>
      <c r="Z52" s="50"/>
    </row>
    <row r="53" spans="1:26" ht="15.75" customHeight="1">
      <c r="A53" s="10"/>
      <c r="B53" s="10"/>
      <c r="C53" s="10"/>
      <c r="D53" s="10"/>
      <c r="E53" s="10"/>
      <c r="F53" s="10"/>
      <c r="G53" s="10"/>
      <c r="H53" s="10"/>
      <c r="I53" s="10"/>
      <c r="J53" s="10"/>
      <c r="K53" s="10"/>
      <c r="L53" s="10"/>
      <c r="M53" s="10"/>
      <c r="N53" s="10"/>
      <c r="O53" s="10"/>
      <c r="P53" s="10"/>
      <c r="Q53" s="10"/>
      <c r="R53" s="10"/>
      <c r="S53" s="10"/>
      <c r="T53" s="50"/>
      <c r="U53" s="50"/>
      <c r="V53" s="50"/>
      <c r="W53" s="50"/>
      <c r="X53" s="50"/>
      <c r="Y53" s="50"/>
      <c r="Z53" s="50"/>
    </row>
    <row r="54" spans="1:26" ht="15.75" customHeight="1">
      <c r="A54" s="10"/>
      <c r="B54" s="10" t="s">
        <v>22</v>
      </c>
      <c r="C54" s="10" t="s">
        <v>100</v>
      </c>
      <c r="D54" s="72" t="s">
        <v>339</v>
      </c>
      <c r="E54" s="73"/>
      <c r="F54" s="10"/>
      <c r="G54" s="10"/>
      <c r="H54" s="10" t="s">
        <v>579</v>
      </c>
      <c r="I54" s="66">
        <v>41</v>
      </c>
      <c r="J54" s="66">
        <v>47</v>
      </c>
      <c r="K54" s="66">
        <v>47</v>
      </c>
      <c r="L54" s="66">
        <v>59</v>
      </c>
      <c r="M54" s="66">
        <v>130</v>
      </c>
      <c r="N54" s="66">
        <v>147</v>
      </c>
      <c r="O54" s="66">
        <v>177</v>
      </c>
      <c r="P54" s="66">
        <v>206</v>
      </c>
      <c r="Q54" s="66">
        <v>206</v>
      </c>
      <c r="R54" s="66">
        <v>12</v>
      </c>
      <c r="S54" s="66">
        <v>47</v>
      </c>
      <c r="T54" s="50"/>
      <c r="U54" s="50"/>
      <c r="V54" s="50"/>
      <c r="W54" s="50"/>
      <c r="X54" s="50"/>
      <c r="Y54" s="50"/>
      <c r="Z54" s="50"/>
    </row>
    <row r="55" spans="1:26" ht="15.75" customHeight="1">
      <c r="A55" s="10"/>
      <c r="B55" s="10" t="s">
        <v>22</v>
      </c>
      <c r="C55" s="10" t="s">
        <v>103</v>
      </c>
      <c r="D55" s="72" t="s">
        <v>339</v>
      </c>
      <c r="E55" s="73"/>
      <c r="F55" s="10"/>
      <c r="G55" s="10"/>
      <c r="H55" s="10" t="s">
        <v>580</v>
      </c>
      <c r="I55" s="66">
        <v>41</v>
      </c>
      <c r="J55" s="66">
        <v>47</v>
      </c>
      <c r="K55" s="66">
        <v>47</v>
      </c>
      <c r="L55" s="66">
        <v>59</v>
      </c>
      <c r="M55" s="66">
        <v>130</v>
      </c>
      <c r="N55" s="66">
        <v>147</v>
      </c>
      <c r="O55" s="66">
        <v>177</v>
      </c>
      <c r="P55" s="66">
        <v>206</v>
      </c>
      <c r="Q55" s="66">
        <v>206</v>
      </c>
      <c r="R55" s="66">
        <v>12</v>
      </c>
      <c r="S55" s="66">
        <v>47</v>
      </c>
      <c r="T55" s="50"/>
      <c r="U55" s="50"/>
      <c r="V55" s="50"/>
      <c r="W55" s="50"/>
      <c r="X55" s="50"/>
      <c r="Y55" s="50"/>
      <c r="Z55" s="50"/>
    </row>
    <row r="56" spans="1:26" ht="15.75" customHeight="1">
      <c r="A56" s="10"/>
      <c r="B56" s="10" t="s">
        <v>22</v>
      </c>
      <c r="C56" s="10" t="s">
        <v>105</v>
      </c>
      <c r="D56" s="72" t="s">
        <v>339</v>
      </c>
      <c r="E56" s="73"/>
      <c r="F56" s="10"/>
      <c r="G56" s="10"/>
      <c r="H56" s="10" t="s">
        <v>483</v>
      </c>
      <c r="I56" s="66">
        <v>41</v>
      </c>
      <c r="J56" s="66">
        <v>47</v>
      </c>
      <c r="K56" s="66">
        <v>47</v>
      </c>
      <c r="L56" s="66">
        <v>59</v>
      </c>
      <c r="M56" s="66">
        <v>130</v>
      </c>
      <c r="N56" s="66">
        <v>147</v>
      </c>
      <c r="O56" s="66">
        <v>177</v>
      </c>
      <c r="P56" s="66">
        <v>206</v>
      </c>
      <c r="Q56" s="66">
        <v>206</v>
      </c>
      <c r="R56" s="66">
        <v>12</v>
      </c>
      <c r="S56" s="66">
        <v>47</v>
      </c>
      <c r="T56" s="50"/>
      <c r="U56" s="50"/>
      <c r="V56" s="50"/>
      <c r="W56" s="50"/>
      <c r="X56" s="50"/>
      <c r="Y56" s="50"/>
      <c r="Z56" s="50"/>
    </row>
    <row r="57" spans="1:26" ht="15.75" customHeight="1">
      <c r="A57" s="10"/>
      <c r="B57" s="10" t="s">
        <v>22</v>
      </c>
      <c r="C57" s="10" t="s">
        <v>107</v>
      </c>
      <c r="D57" s="72" t="s">
        <v>339</v>
      </c>
      <c r="E57" s="73"/>
      <c r="F57" s="10"/>
      <c r="G57" s="10"/>
      <c r="H57" s="10" t="s">
        <v>484</v>
      </c>
      <c r="I57" s="66">
        <v>41</v>
      </c>
      <c r="J57" s="66">
        <v>47</v>
      </c>
      <c r="K57" s="66">
        <v>47</v>
      </c>
      <c r="L57" s="66">
        <v>59</v>
      </c>
      <c r="M57" s="66">
        <v>130</v>
      </c>
      <c r="N57" s="66">
        <v>147</v>
      </c>
      <c r="O57" s="66">
        <v>177</v>
      </c>
      <c r="P57" s="66">
        <v>206</v>
      </c>
      <c r="Q57" s="66">
        <v>206</v>
      </c>
      <c r="R57" s="66">
        <v>12</v>
      </c>
      <c r="S57" s="66">
        <v>47</v>
      </c>
      <c r="T57" s="50"/>
      <c r="U57" s="50"/>
      <c r="V57" s="50"/>
      <c r="W57" s="50"/>
      <c r="X57" s="50"/>
      <c r="Y57" s="50"/>
      <c r="Z57" s="50"/>
    </row>
    <row r="58" spans="1:26" ht="15.75" customHeight="1">
      <c r="A58" s="10"/>
      <c r="B58" s="10" t="s">
        <v>22</v>
      </c>
      <c r="C58" s="10" t="s">
        <v>109</v>
      </c>
      <c r="D58" s="72" t="s">
        <v>339</v>
      </c>
      <c r="E58" s="73"/>
      <c r="F58" s="10"/>
      <c r="G58" s="10"/>
      <c r="H58" s="10" t="s">
        <v>581</v>
      </c>
      <c r="I58" s="66">
        <v>41</v>
      </c>
      <c r="J58" s="66">
        <v>47</v>
      </c>
      <c r="K58" s="66">
        <v>47</v>
      </c>
      <c r="L58" s="66">
        <v>59</v>
      </c>
      <c r="M58" s="66">
        <v>130</v>
      </c>
      <c r="N58" s="66">
        <v>147</v>
      </c>
      <c r="O58" s="66">
        <v>177</v>
      </c>
      <c r="P58" s="66">
        <v>206</v>
      </c>
      <c r="Q58" s="66">
        <v>206</v>
      </c>
      <c r="R58" s="66">
        <v>12</v>
      </c>
      <c r="S58" s="66">
        <v>47</v>
      </c>
      <c r="T58" s="50"/>
      <c r="U58" s="50"/>
      <c r="V58" s="50"/>
      <c r="W58" s="50"/>
      <c r="X58" s="50"/>
      <c r="Y58" s="50"/>
      <c r="Z58" s="50"/>
    </row>
    <row r="59" spans="1:26" ht="15.75" customHeight="1">
      <c r="A59" s="10"/>
      <c r="B59" s="10" t="s">
        <v>22</v>
      </c>
      <c r="C59" s="10" t="s">
        <v>111</v>
      </c>
      <c r="D59" s="72" t="s">
        <v>339</v>
      </c>
      <c r="E59" s="73"/>
      <c r="F59" s="10"/>
      <c r="G59" s="10"/>
      <c r="H59" s="10" t="s">
        <v>486</v>
      </c>
      <c r="I59" s="66">
        <v>36</v>
      </c>
      <c r="J59" s="66">
        <v>41</v>
      </c>
      <c r="K59" s="66">
        <v>47</v>
      </c>
      <c r="L59" s="66">
        <v>59</v>
      </c>
      <c r="M59" s="66">
        <v>189</v>
      </c>
      <c r="N59" s="66">
        <v>147</v>
      </c>
      <c r="O59" s="66">
        <v>177</v>
      </c>
      <c r="P59" s="66">
        <v>206</v>
      </c>
      <c r="Q59" s="66">
        <v>206</v>
      </c>
      <c r="R59" s="66">
        <v>12</v>
      </c>
      <c r="S59" s="66">
        <v>47</v>
      </c>
      <c r="T59" s="50"/>
      <c r="U59" s="50"/>
      <c r="V59" s="50"/>
      <c r="W59" s="50"/>
      <c r="X59" s="50"/>
      <c r="Y59" s="50"/>
      <c r="Z59" s="50"/>
    </row>
    <row r="60" spans="1:26" ht="15.75" customHeight="1">
      <c r="A60" s="10"/>
      <c r="B60" s="10" t="s">
        <v>22</v>
      </c>
      <c r="C60" s="10" t="s">
        <v>113</v>
      </c>
      <c r="D60" s="72" t="s">
        <v>339</v>
      </c>
      <c r="E60" s="73"/>
      <c r="F60" s="10"/>
      <c r="G60" s="10"/>
      <c r="H60" s="10" t="s">
        <v>582</v>
      </c>
      <c r="I60" s="66">
        <v>41</v>
      </c>
      <c r="J60" s="66">
        <v>41</v>
      </c>
      <c r="K60" s="66">
        <v>47</v>
      </c>
      <c r="L60" s="66">
        <v>59</v>
      </c>
      <c r="M60" s="66">
        <v>153</v>
      </c>
      <c r="N60" s="66">
        <v>177</v>
      </c>
      <c r="O60" s="66">
        <v>206</v>
      </c>
      <c r="P60" s="66">
        <v>236</v>
      </c>
      <c r="Q60" s="66">
        <v>236</v>
      </c>
      <c r="R60" s="66">
        <v>12</v>
      </c>
      <c r="S60" s="66">
        <v>47</v>
      </c>
      <c r="T60" s="50"/>
      <c r="U60" s="50"/>
      <c r="V60" s="50"/>
      <c r="W60" s="50"/>
      <c r="X60" s="50"/>
      <c r="Y60" s="50"/>
      <c r="Z60" s="50"/>
    </row>
    <row r="61" spans="1:26" ht="15.75" customHeight="1">
      <c r="A61" s="10"/>
      <c r="B61" s="10" t="s">
        <v>22</v>
      </c>
      <c r="C61" s="10" t="s">
        <v>115</v>
      </c>
      <c r="D61" s="72" t="s">
        <v>339</v>
      </c>
      <c r="E61" s="73"/>
      <c r="F61" s="10"/>
      <c r="G61" s="10"/>
      <c r="H61" s="10" t="s">
        <v>583</v>
      </c>
      <c r="I61" s="66">
        <v>41</v>
      </c>
      <c r="J61" s="66">
        <v>47</v>
      </c>
      <c r="K61" s="66">
        <v>47</v>
      </c>
      <c r="L61" s="66">
        <v>59</v>
      </c>
      <c r="M61" s="66">
        <v>130</v>
      </c>
      <c r="N61" s="66">
        <v>147</v>
      </c>
      <c r="O61" s="66">
        <v>177</v>
      </c>
      <c r="P61" s="66">
        <v>206</v>
      </c>
      <c r="Q61" s="66">
        <v>206</v>
      </c>
      <c r="R61" s="66">
        <v>12</v>
      </c>
      <c r="S61" s="66">
        <v>47</v>
      </c>
      <c r="T61" s="50"/>
      <c r="U61" s="50"/>
      <c r="V61" s="50"/>
      <c r="W61" s="50"/>
      <c r="X61" s="50"/>
      <c r="Y61" s="50"/>
      <c r="Z61" s="50"/>
    </row>
    <row r="62" spans="1:26" ht="15.75" customHeight="1">
      <c r="A62" s="10"/>
      <c r="B62" s="10" t="s">
        <v>22</v>
      </c>
      <c r="C62" s="10" t="s">
        <v>117</v>
      </c>
      <c r="D62" s="72" t="s">
        <v>339</v>
      </c>
      <c r="E62" s="73"/>
      <c r="F62" s="10"/>
      <c r="G62" s="10"/>
      <c r="H62" s="10" t="s">
        <v>582</v>
      </c>
      <c r="I62" s="66">
        <v>41</v>
      </c>
      <c r="J62" s="66">
        <v>32</v>
      </c>
      <c r="K62" s="66">
        <v>29</v>
      </c>
      <c r="L62" s="66">
        <v>31</v>
      </c>
      <c r="M62" s="66">
        <v>130</v>
      </c>
      <c r="N62" s="66">
        <v>147</v>
      </c>
      <c r="O62" s="66">
        <v>177</v>
      </c>
      <c r="P62" s="66">
        <v>206</v>
      </c>
      <c r="Q62" s="66">
        <v>206</v>
      </c>
      <c r="R62" s="66">
        <v>12</v>
      </c>
      <c r="S62" s="66">
        <v>47</v>
      </c>
      <c r="T62" s="50"/>
      <c r="U62" s="50"/>
      <c r="V62" s="50"/>
      <c r="W62" s="50"/>
      <c r="X62" s="50"/>
      <c r="Y62" s="50"/>
      <c r="Z62" s="50"/>
    </row>
    <row r="63" spans="1:26" ht="15.75" customHeight="1">
      <c r="A63" s="10"/>
      <c r="B63" s="10" t="s">
        <v>22</v>
      </c>
      <c r="C63" s="10" t="s">
        <v>119</v>
      </c>
      <c r="D63" s="72" t="s">
        <v>339</v>
      </c>
      <c r="E63" s="73"/>
      <c r="F63" s="10"/>
      <c r="G63" s="10"/>
      <c r="H63" s="10" t="s">
        <v>584</v>
      </c>
      <c r="I63" s="66">
        <v>41</v>
      </c>
      <c r="J63" s="66">
        <v>47</v>
      </c>
      <c r="K63" s="66">
        <v>47</v>
      </c>
      <c r="L63" s="66">
        <v>59</v>
      </c>
      <c r="M63" s="66">
        <v>130</v>
      </c>
      <c r="N63" s="66">
        <v>147</v>
      </c>
      <c r="O63" s="66">
        <v>177</v>
      </c>
      <c r="P63" s="66">
        <v>206</v>
      </c>
      <c r="Q63" s="66">
        <v>206</v>
      </c>
      <c r="R63" s="66">
        <v>12</v>
      </c>
      <c r="S63" s="66">
        <v>47</v>
      </c>
      <c r="T63" s="50"/>
      <c r="U63" s="50"/>
      <c r="V63" s="50"/>
      <c r="W63" s="50"/>
      <c r="X63" s="50"/>
      <c r="Y63" s="50"/>
      <c r="Z63" s="50"/>
    </row>
    <row r="64" spans="1:26" ht="15.75" customHeight="1">
      <c r="A64" s="10"/>
      <c r="B64" s="10" t="s">
        <v>22</v>
      </c>
      <c r="C64" s="10" t="s">
        <v>121</v>
      </c>
      <c r="D64" s="72" t="s">
        <v>339</v>
      </c>
      <c r="E64" s="73"/>
      <c r="F64" s="10"/>
      <c r="G64" s="10"/>
      <c r="H64" s="10" t="s">
        <v>490</v>
      </c>
      <c r="I64" s="66">
        <v>41</v>
      </c>
      <c r="J64" s="66">
        <v>47</v>
      </c>
      <c r="K64" s="66">
        <v>47</v>
      </c>
      <c r="L64" s="66">
        <v>59</v>
      </c>
      <c r="M64" s="66">
        <v>130</v>
      </c>
      <c r="N64" s="66">
        <v>147</v>
      </c>
      <c r="O64" s="66">
        <v>177</v>
      </c>
      <c r="P64" s="66">
        <v>206</v>
      </c>
      <c r="Q64" s="66">
        <v>206</v>
      </c>
      <c r="R64" s="66">
        <v>12</v>
      </c>
      <c r="S64" s="66">
        <v>47</v>
      </c>
      <c r="T64" s="50"/>
      <c r="U64" s="50"/>
      <c r="V64" s="50"/>
      <c r="W64" s="50"/>
      <c r="X64" s="50"/>
      <c r="Y64" s="50"/>
      <c r="Z64" s="50"/>
    </row>
    <row r="65" spans="1:26" ht="15.75" customHeight="1">
      <c r="A65" s="10"/>
      <c r="B65" s="10" t="s">
        <v>22</v>
      </c>
      <c r="C65" s="10" t="s">
        <v>123</v>
      </c>
      <c r="D65" s="72" t="s">
        <v>339</v>
      </c>
      <c r="E65" s="73"/>
      <c r="F65" s="10"/>
      <c r="G65" s="10"/>
      <c r="H65" s="10" t="s">
        <v>585</v>
      </c>
      <c r="I65" s="66">
        <v>41</v>
      </c>
      <c r="J65" s="66">
        <v>47</v>
      </c>
      <c r="K65" s="66">
        <v>47</v>
      </c>
      <c r="L65" s="66">
        <v>59</v>
      </c>
      <c r="M65" s="66">
        <v>130</v>
      </c>
      <c r="N65" s="66">
        <v>147</v>
      </c>
      <c r="O65" s="66">
        <v>177</v>
      </c>
      <c r="P65" s="66">
        <v>206</v>
      </c>
      <c r="Q65" s="66">
        <v>206</v>
      </c>
      <c r="R65" s="66">
        <v>12</v>
      </c>
      <c r="S65" s="66">
        <v>47</v>
      </c>
      <c r="T65" s="50"/>
      <c r="U65" s="50"/>
      <c r="V65" s="50"/>
      <c r="W65" s="50"/>
      <c r="X65" s="50"/>
      <c r="Y65" s="50"/>
      <c r="Z65" s="50"/>
    </row>
    <row r="66" spans="1:26" ht="15.75" customHeight="1">
      <c r="A66" s="10"/>
      <c r="B66" s="10" t="s">
        <v>22</v>
      </c>
      <c r="C66" s="10" t="s">
        <v>125</v>
      </c>
      <c r="D66" s="72" t="s">
        <v>339</v>
      </c>
      <c r="E66" s="73"/>
      <c r="F66" s="10"/>
      <c r="G66" s="10"/>
      <c r="H66" s="10" t="s">
        <v>487</v>
      </c>
      <c r="I66" s="66">
        <v>41</v>
      </c>
      <c r="J66" s="66">
        <v>47</v>
      </c>
      <c r="K66" s="66">
        <v>47</v>
      </c>
      <c r="L66" s="66">
        <v>59</v>
      </c>
      <c r="M66" s="66">
        <v>130</v>
      </c>
      <c r="N66" s="66">
        <v>147</v>
      </c>
      <c r="O66" s="66">
        <v>177</v>
      </c>
      <c r="P66" s="66">
        <v>206</v>
      </c>
      <c r="Q66" s="66">
        <v>206</v>
      </c>
      <c r="R66" s="66">
        <v>12</v>
      </c>
      <c r="S66" s="66">
        <v>47</v>
      </c>
      <c r="T66" s="50"/>
      <c r="U66" s="50"/>
      <c r="V66" s="50"/>
      <c r="W66" s="50"/>
      <c r="X66" s="50"/>
      <c r="Y66" s="50"/>
      <c r="Z66" s="50"/>
    </row>
    <row r="67" spans="1:26" ht="15.75" customHeight="1">
      <c r="A67" s="10"/>
      <c r="B67" s="10" t="s">
        <v>22</v>
      </c>
      <c r="C67" s="10" t="s">
        <v>127</v>
      </c>
      <c r="D67" s="72" t="s">
        <v>339</v>
      </c>
      <c r="E67" s="73"/>
      <c r="F67" s="10"/>
      <c r="G67" s="10"/>
      <c r="H67" s="10" t="s">
        <v>492</v>
      </c>
      <c r="I67" s="66">
        <v>41</v>
      </c>
      <c r="J67" s="66">
        <v>47</v>
      </c>
      <c r="K67" s="66">
        <v>47</v>
      </c>
      <c r="L67" s="66">
        <v>59</v>
      </c>
      <c r="M67" s="66">
        <v>118</v>
      </c>
      <c r="N67" s="66">
        <v>147</v>
      </c>
      <c r="O67" s="66">
        <v>177</v>
      </c>
      <c r="P67" s="66">
        <v>206</v>
      </c>
      <c r="Q67" s="66">
        <v>206</v>
      </c>
      <c r="R67" s="66">
        <v>12</v>
      </c>
      <c r="S67" s="66">
        <v>47</v>
      </c>
      <c r="T67" s="50"/>
      <c r="U67" s="50"/>
      <c r="V67" s="50"/>
      <c r="W67" s="50"/>
      <c r="X67" s="50"/>
      <c r="Y67" s="50"/>
      <c r="Z67" s="50"/>
    </row>
    <row r="68" spans="1:26" ht="15.75" customHeight="1">
      <c r="A68" s="10"/>
      <c r="B68" s="10" t="s">
        <v>22</v>
      </c>
      <c r="C68" s="10" t="s">
        <v>129</v>
      </c>
      <c r="D68" s="72" t="s">
        <v>339</v>
      </c>
      <c r="E68" s="73"/>
      <c r="F68" s="10"/>
      <c r="G68" s="10"/>
      <c r="H68" s="10" t="s">
        <v>586</v>
      </c>
      <c r="I68" s="66">
        <v>41</v>
      </c>
      <c r="J68" s="66">
        <v>47</v>
      </c>
      <c r="K68" s="66">
        <v>47</v>
      </c>
      <c r="L68" s="66">
        <v>59</v>
      </c>
      <c r="M68" s="66">
        <v>118</v>
      </c>
      <c r="N68" s="66">
        <v>147</v>
      </c>
      <c r="O68" s="66">
        <v>177</v>
      </c>
      <c r="P68" s="66">
        <v>206</v>
      </c>
      <c r="Q68" s="66">
        <v>206</v>
      </c>
      <c r="R68" s="66">
        <v>12</v>
      </c>
      <c r="S68" s="66">
        <v>47</v>
      </c>
      <c r="T68" s="50"/>
      <c r="U68" s="50"/>
      <c r="V68" s="50"/>
      <c r="W68" s="50"/>
      <c r="X68" s="50"/>
      <c r="Y68" s="50"/>
      <c r="Z68" s="50"/>
    </row>
    <row r="69" spans="1:26" ht="15.75" customHeight="1">
      <c r="A69" s="10"/>
      <c r="B69" s="10" t="s">
        <v>22</v>
      </c>
      <c r="C69" s="10" t="s">
        <v>131</v>
      </c>
      <c r="D69" s="72" t="s">
        <v>339</v>
      </c>
      <c r="E69" s="73"/>
      <c r="F69" s="10"/>
      <c r="G69" s="10"/>
      <c r="H69" s="10" t="s">
        <v>494</v>
      </c>
      <c r="I69" s="66">
        <v>41</v>
      </c>
      <c r="J69" s="66">
        <v>47</v>
      </c>
      <c r="K69" s="66">
        <v>47</v>
      </c>
      <c r="L69" s="66">
        <v>59</v>
      </c>
      <c r="M69" s="66">
        <v>118</v>
      </c>
      <c r="N69" s="66">
        <v>147</v>
      </c>
      <c r="O69" s="66">
        <v>177</v>
      </c>
      <c r="P69" s="66">
        <v>206</v>
      </c>
      <c r="Q69" s="66">
        <v>206</v>
      </c>
      <c r="R69" s="66">
        <v>12</v>
      </c>
      <c r="S69" s="66">
        <v>47</v>
      </c>
      <c r="T69" s="50"/>
      <c r="U69" s="50"/>
      <c r="V69" s="50"/>
      <c r="W69" s="50"/>
      <c r="X69" s="50"/>
      <c r="Y69" s="50"/>
      <c r="Z69" s="50"/>
    </row>
    <row r="70" spans="1:26" ht="15.75" customHeight="1">
      <c r="A70" s="10"/>
      <c r="B70" s="10" t="s">
        <v>22</v>
      </c>
      <c r="C70" s="10" t="s">
        <v>133</v>
      </c>
      <c r="D70" s="72" t="s">
        <v>339</v>
      </c>
      <c r="E70" s="73"/>
      <c r="F70" s="10"/>
      <c r="G70" s="10"/>
      <c r="H70" s="10" t="s">
        <v>495</v>
      </c>
      <c r="I70" s="66">
        <v>41</v>
      </c>
      <c r="J70" s="66">
        <v>47</v>
      </c>
      <c r="K70" s="66">
        <v>47</v>
      </c>
      <c r="L70" s="66">
        <v>59</v>
      </c>
      <c r="M70" s="66">
        <v>118</v>
      </c>
      <c r="N70" s="66">
        <v>147</v>
      </c>
      <c r="O70" s="66">
        <v>177</v>
      </c>
      <c r="P70" s="66">
        <v>206</v>
      </c>
      <c r="Q70" s="66">
        <v>206</v>
      </c>
      <c r="R70" s="66">
        <v>12</v>
      </c>
      <c r="S70" s="66">
        <v>47</v>
      </c>
      <c r="T70" s="50"/>
      <c r="U70" s="50"/>
      <c r="V70" s="50"/>
      <c r="W70" s="50"/>
      <c r="X70" s="50"/>
      <c r="Y70" s="50"/>
      <c r="Z70" s="50"/>
    </row>
    <row r="71" spans="1:26" ht="15.75" customHeight="1">
      <c r="A71" s="10"/>
      <c r="B71" s="10" t="s">
        <v>22</v>
      </c>
      <c r="C71" s="10" t="s">
        <v>135</v>
      </c>
      <c r="D71" s="72" t="s">
        <v>339</v>
      </c>
      <c r="E71" s="73"/>
      <c r="F71" s="10"/>
      <c r="G71" s="10"/>
      <c r="H71" s="10" t="s">
        <v>587</v>
      </c>
      <c r="I71" s="66">
        <v>41</v>
      </c>
      <c r="J71" s="66">
        <v>47</v>
      </c>
      <c r="K71" s="66">
        <v>47</v>
      </c>
      <c r="L71" s="66">
        <v>59</v>
      </c>
      <c r="M71" s="66">
        <v>118</v>
      </c>
      <c r="N71" s="66">
        <v>147</v>
      </c>
      <c r="O71" s="66">
        <v>177</v>
      </c>
      <c r="P71" s="66">
        <v>206</v>
      </c>
      <c r="Q71" s="66">
        <v>206</v>
      </c>
      <c r="R71" s="66">
        <v>12</v>
      </c>
      <c r="S71" s="66">
        <v>47</v>
      </c>
      <c r="T71" s="50"/>
      <c r="U71" s="50"/>
      <c r="V71" s="50"/>
      <c r="W71" s="50"/>
      <c r="X71" s="50"/>
      <c r="Y71" s="50"/>
      <c r="Z71" s="50"/>
    </row>
    <row r="72" spans="1:26" ht="15.75" customHeight="1">
      <c r="A72" s="10"/>
      <c r="B72" s="10" t="s">
        <v>22</v>
      </c>
      <c r="C72" s="10" t="s">
        <v>137</v>
      </c>
      <c r="D72" s="72" t="s">
        <v>339</v>
      </c>
      <c r="E72" s="73"/>
      <c r="F72" s="10"/>
      <c r="G72" s="10"/>
      <c r="H72" s="10" t="s">
        <v>492</v>
      </c>
      <c r="I72" s="66">
        <v>30</v>
      </c>
      <c r="J72" s="66">
        <v>36</v>
      </c>
      <c r="K72" s="66">
        <v>41</v>
      </c>
      <c r="L72" s="66">
        <v>53</v>
      </c>
      <c r="M72" s="66">
        <v>130</v>
      </c>
      <c r="N72" s="66">
        <v>147</v>
      </c>
      <c r="O72" s="66">
        <v>177</v>
      </c>
      <c r="P72" s="66">
        <v>206</v>
      </c>
      <c r="Q72" s="66">
        <v>206</v>
      </c>
      <c r="R72" s="66">
        <v>12</v>
      </c>
      <c r="S72" s="66">
        <v>47</v>
      </c>
      <c r="T72" s="50"/>
      <c r="U72" s="50"/>
      <c r="V72" s="50"/>
      <c r="W72" s="50"/>
      <c r="X72" s="50"/>
      <c r="Y72" s="50"/>
      <c r="Z72" s="50"/>
    </row>
    <row r="73" spans="1:26" ht="15.75" customHeight="1">
      <c r="A73" s="10"/>
      <c r="B73" s="10" t="s">
        <v>22</v>
      </c>
      <c r="C73" s="10" t="s">
        <v>139</v>
      </c>
      <c r="D73" s="72" t="s">
        <v>339</v>
      </c>
      <c r="E73" s="73"/>
      <c r="F73" s="10"/>
      <c r="G73" s="10"/>
      <c r="H73" s="10" t="s">
        <v>588</v>
      </c>
      <c r="I73" s="66">
        <v>41</v>
      </c>
      <c r="J73" s="66">
        <v>47</v>
      </c>
      <c r="K73" s="66">
        <v>47</v>
      </c>
      <c r="L73" s="66">
        <v>59</v>
      </c>
      <c r="M73" s="66">
        <v>118</v>
      </c>
      <c r="N73" s="66">
        <v>147</v>
      </c>
      <c r="O73" s="66">
        <v>177</v>
      </c>
      <c r="P73" s="66">
        <v>206</v>
      </c>
      <c r="Q73" s="66">
        <v>206</v>
      </c>
      <c r="R73" s="66">
        <v>12</v>
      </c>
      <c r="S73" s="66">
        <v>47</v>
      </c>
      <c r="T73" s="50"/>
      <c r="U73" s="50"/>
      <c r="V73" s="50"/>
      <c r="W73" s="50"/>
      <c r="X73" s="50"/>
      <c r="Y73" s="50"/>
      <c r="Z73" s="50"/>
    </row>
    <row r="74" spans="1:26" ht="15.75" customHeight="1">
      <c r="A74" s="10"/>
      <c r="B74" s="10" t="s">
        <v>22</v>
      </c>
      <c r="C74" s="10" t="s">
        <v>141</v>
      </c>
      <c r="D74" s="72" t="s">
        <v>339</v>
      </c>
      <c r="E74" s="73"/>
      <c r="F74" s="10"/>
      <c r="G74" s="10"/>
      <c r="H74" s="10" t="s">
        <v>492</v>
      </c>
      <c r="I74" s="66">
        <v>29</v>
      </c>
      <c r="J74" s="66">
        <v>32</v>
      </c>
      <c r="K74" s="66">
        <v>29</v>
      </c>
      <c r="L74" s="66">
        <v>31</v>
      </c>
      <c r="M74" s="66">
        <v>118</v>
      </c>
      <c r="N74" s="66">
        <v>147</v>
      </c>
      <c r="O74" s="66">
        <v>177</v>
      </c>
      <c r="P74" s="66">
        <v>206</v>
      </c>
      <c r="Q74" s="66">
        <v>206</v>
      </c>
      <c r="R74" s="66">
        <v>12</v>
      </c>
      <c r="S74" s="66">
        <v>47</v>
      </c>
      <c r="T74" s="50"/>
      <c r="U74" s="50"/>
      <c r="V74" s="50"/>
      <c r="W74" s="50"/>
      <c r="X74" s="50"/>
      <c r="Y74" s="50"/>
      <c r="Z74" s="50"/>
    </row>
    <row r="75" spans="1:26" ht="15.75" customHeight="1">
      <c r="A75" s="10"/>
      <c r="B75" s="10" t="s">
        <v>22</v>
      </c>
      <c r="C75" s="10" t="s">
        <v>143</v>
      </c>
      <c r="D75" s="72" t="s">
        <v>339</v>
      </c>
      <c r="E75" s="73"/>
      <c r="F75" s="10"/>
      <c r="G75" s="10"/>
      <c r="H75" s="10" t="s">
        <v>498</v>
      </c>
      <c r="I75" s="66">
        <v>41</v>
      </c>
      <c r="J75" s="66">
        <v>47</v>
      </c>
      <c r="K75" s="66">
        <v>47</v>
      </c>
      <c r="L75" s="66">
        <v>59</v>
      </c>
      <c r="M75" s="66">
        <v>118</v>
      </c>
      <c r="N75" s="66">
        <v>147</v>
      </c>
      <c r="O75" s="66">
        <v>177</v>
      </c>
      <c r="P75" s="66">
        <v>206</v>
      </c>
      <c r="Q75" s="66">
        <v>206</v>
      </c>
      <c r="R75" s="66">
        <v>12</v>
      </c>
      <c r="S75" s="66">
        <v>47</v>
      </c>
      <c r="T75" s="50"/>
      <c r="U75" s="50"/>
      <c r="V75" s="50"/>
      <c r="W75" s="50"/>
      <c r="X75" s="50"/>
      <c r="Y75" s="50"/>
      <c r="Z75" s="50"/>
    </row>
    <row r="76" spans="1:26" ht="15.75" customHeight="1">
      <c r="A76" s="10"/>
      <c r="B76" s="10" t="s">
        <v>22</v>
      </c>
      <c r="C76" s="10" t="s">
        <v>145</v>
      </c>
      <c r="D76" s="72" t="s">
        <v>339</v>
      </c>
      <c r="E76" s="73"/>
      <c r="F76" s="10"/>
      <c r="G76" s="10"/>
      <c r="H76" s="10" t="s">
        <v>499</v>
      </c>
      <c r="I76" s="66">
        <v>41</v>
      </c>
      <c r="J76" s="66">
        <v>47</v>
      </c>
      <c r="K76" s="66">
        <v>47</v>
      </c>
      <c r="L76" s="66">
        <v>59</v>
      </c>
      <c r="M76" s="66">
        <v>118</v>
      </c>
      <c r="N76" s="66">
        <v>147</v>
      </c>
      <c r="O76" s="66">
        <v>177</v>
      </c>
      <c r="P76" s="66">
        <v>206</v>
      </c>
      <c r="Q76" s="66">
        <v>206</v>
      </c>
      <c r="R76" s="66">
        <v>12</v>
      </c>
      <c r="S76" s="66">
        <v>47</v>
      </c>
      <c r="T76" s="50"/>
      <c r="U76" s="50"/>
      <c r="V76" s="50"/>
      <c r="W76" s="50"/>
      <c r="X76" s="50"/>
      <c r="Y76" s="50"/>
      <c r="Z76" s="50"/>
    </row>
    <row r="77" spans="1:26" ht="15.75" customHeight="1">
      <c r="A77" s="10"/>
      <c r="B77" s="10" t="s">
        <v>22</v>
      </c>
      <c r="C77" s="10" t="s">
        <v>147</v>
      </c>
      <c r="D77" s="72" t="s">
        <v>339</v>
      </c>
      <c r="E77" s="73"/>
      <c r="F77" s="10"/>
      <c r="G77" s="10"/>
      <c r="H77" s="10" t="s">
        <v>500</v>
      </c>
      <c r="I77" s="66">
        <v>41</v>
      </c>
      <c r="J77" s="66">
        <v>47</v>
      </c>
      <c r="K77" s="66">
        <v>47</v>
      </c>
      <c r="L77" s="66">
        <v>59</v>
      </c>
      <c r="M77" s="66">
        <v>118</v>
      </c>
      <c r="N77" s="66">
        <v>147</v>
      </c>
      <c r="O77" s="66">
        <v>177</v>
      </c>
      <c r="P77" s="66">
        <v>206</v>
      </c>
      <c r="Q77" s="66">
        <v>206</v>
      </c>
      <c r="R77" s="66">
        <v>12</v>
      </c>
      <c r="S77" s="66">
        <v>47</v>
      </c>
      <c r="T77" s="50"/>
      <c r="U77" s="50"/>
      <c r="V77" s="50"/>
      <c r="W77" s="50"/>
      <c r="X77" s="50"/>
      <c r="Y77" s="50"/>
      <c r="Z77" s="50"/>
    </row>
    <row r="78" spans="1:26" ht="15.75" customHeight="1">
      <c r="A78" s="10"/>
      <c r="B78" s="10" t="s">
        <v>22</v>
      </c>
      <c r="C78" s="10" t="s">
        <v>149</v>
      </c>
      <c r="D78" s="72" t="s">
        <v>339</v>
      </c>
      <c r="E78" s="73"/>
      <c r="F78" s="10"/>
      <c r="G78" s="10"/>
      <c r="H78" s="10" t="s">
        <v>492</v>
      </c>
      <c r="I78" s="66">
        <v>41</v>
      </c>
      <c r="J78" s="66">
        <v>47</v>
      </c>
      <c r="K78" s="66">
        <v>47</v>
      </c>
      <c r="L78" s="66">
        <v>59</v>
      </c>
      <c r="M78" s="66">
        <v>118</v>
      </c>
      <c r="N78" s="66">
        <v>147</v>
      </c>
      <c r="O78" s="66">
        <v>177</v>
      </c>
      <c r="P78" s="66">
        <v>206</v>
      </c>
      <c r="Q78" s="66">
        <v>206</v>
      </c>
      <c r="R78" s="66">
        <v>12</v>
      </c>
      <c r="S78" s="66">
        <v>47</v>
      </c>
      <c r="T78" s="50"/>
      <c r="U78" s="50"/>
      <c r="V78" s="50"/>
      <c r="W78" s="50"/>
      <c r="X78" s="50"/>
      <c r="Y78" s="50"/>
      <c r="Z78" s="50"/>
    </row>
    <row r="79" spans="1:26" ht="15.75" customHeight="1">
      <c r="A79" s="10"/>
      <c r="B79" s="10" t="s">
        <v>22</v>
      </c>
      <c r="C79" s="10" t="s">
        <v>151</v>
      </c>
      <c r="D79" s="72" t="s">
        <v>339</v>
      </c>
      <c r="E79" s="73"/>
      <c r="F79" s="10"/>
      <c r="G79" s="10"/>
      <c r="H79" s="10" t="s">
        <v>589</v>
      </c>
      <c r="I79" s="66">
        <v>35</v>
      </c>
      <c r="J79" s="66">
        <v>38</v>
      </c>
      <c r="K79" s="66">
        <v>40</v>
      </c>
      <c r="L79" s="66">
        <v>50</v>
      </c>
      <c r="M79" s="66">
        <v>88</v>
      </c>
      <c r="N79" s="66">
        <v>147</v>
      </c>
      <c r="O79" s="66">
        <v>177</v>
      </c>
      <c r="P79" s="66">
        <v>206</v>
      </c>
      <c r="Q79" s="66">
        <v>206</v>
      </c>
      <c r="R79" s="66">
        <v>12</v>
      </c>
      <c r="S79" s="66">
        <v>47</v>
      </c>
      <c r="T79" s="50"/>
      <c r="U79" s="50"/>
      <c r="V79" s="50"/>
      <c r="W79" s="50"/>
      <c r="X79" s="50"/>
      <c r="Y79" s="50"/>
      <c r="Z79" s="50"/>
    </row>
    <row r="80" spans="1:26" ht="15.75" customHeight="1">
      <c r="A80" s="10"/>
      <c r="B80" s="10" t="s">
        <v>22</v>
      </c>
      <c r="C80" s="10" t="s">
        <v>153</v>
      </c>
      <c r="D80" s="72" t="s">
        <v>339</v>
      </c>
      <c r="E80" s="73"/>
      <c r="F80" s="10"/>
      <c r="G80" s="10"/>
      <c r="H80" s="10" t="s">
        <v>590</v>
      </c>
      <c r="I80" s="66">
        <v>35</v>
      </c>
      <c r="J80" s="66">
        <v>38</v>
      </c>
      <c r="K80" s="66">
        <v>40</v>
      </c>
      <c r="L80" s="66">
        <v>50</v>
      </c>
      <c r="M80" s="66">
        <v>88</v>
      </c>
      <c r="N80" s="66">
        <v>147</v>
      </c>
      <c r="O80" s="66">
        <v>177</v>
      </c>
      <c r="P80" s="66">
        <v>206</v>
      </c>
      <c r="Q80" s="66">
        <v>206</v>
      </c>
      <c r="R80" s="66">
        <v>12</v>
      </c>
      <c r="S80" s="66">
        <v>47</v>
      </c>
      <c r="T80" s="50"/>
      <c r="U80" s="50"/>
      <c r="V80" s="50"/>
      <c r="W80" s="50"/>
      <c r="X80" s="50"/>
      <c r="Y80" s="50"/>
      <c r="Z80" s="50"/>
    </row>
    <row r="81" spans="1:26" ht="15.75" customHeight="1">
      <c r="A81" s="10"/>
      <c r="B81" s="10" t="s">
        <v>22</v>
      </c>
      <c r="C81" s="10" t="s">
        <v>155</v>
      </c>
      <c r="D81" s="72" t="s">
        <v>339</v>
      </c>
      <c r="E81" s="73"/>
      <c r="F81" s="10"/>
      <c r="G81" s="10"/>
      <c r="H81" s="10" t="s">
        <v>591</v>
      </c>
      <c r="I81" s="66">
        <v>35</v>
      </c>
      <c r="J81" s="66">
        <v>38</v>
      </c>
      <c r="K81" s="66">
        <v>40</v>
      </c>
      <c r="L81" s="66">
        <v>50</v>
      </c>
      <c r="M81" s="66">
        <v>88</v>
      </c>
      <c r="N81" s="66">
        <v>147</v>
      </c>
      <c r="O81" s="66">
        <v>177</v>
      </c>
      <c r="P81" s="66">
        <v>206</v>
      </c>
      <c r="Q81" s="66">
        <v>206</v>
      </c>
      <c r="R81" s="66">
        <v>12</v>
      </c>
      <c r="S81" s="66">
        <v>47</v>
      </c>
      <c r="T81" s="50"/>
      <c r="U81" s="50"/>
      <c r="V81" s="50"/>
      <c r="W81" s="50"/>
      <c r="X81" s="50"/>
      <c r="Y81" s="50"/>
      <c r="Z81" s="50"/>
    </row>
    <row r="82" spans="1:26" ht="15.75" customHeight="1">
      <c r="A82" s="10"/>
      <c r="B82" s="10" t="s">
        <v>22</v>
      </c>
      <c r="C82" s="10" t="s">
        <v>158</v>
      </c>
      <c r="D82" s="72" t="s">
        <v>339</v>
      </c>
      <c r="E82" s="73"/>
      <c r="F82" s="10"/>
      <c r="G82" s="10"/>
      <c r="H82" s="10" t="s">
        <v>592</v>
      </c>
      <c r="I82" s="66">
        <v>35</v>
      </c>
      <c r="J82" s="66">
        <v>38</v>
      </c>
      <c r="K82" s="66">
        <v>40</v>
      </c>
      <c r="L82" s="66">
        <v>50</v>
      </c>
      <c r="M82" s="66">
        <v>88</v>
      </c>
      <c r="N82" s="66">
        <v>147</v>
      </c>
      <c r="O82" s="66">
        <v>177</v>
      </c>
      <c r="P82" s="66">
        <v>206</v>
      </c>
      <c r="Q82" s="66">
        <v>206</v>
      </c>
      <c r="R82" s="66">
        <v>12</v>
      </c>
      <c r="S82" s="66">
        <v>47</v>
      </c>
      <c r="T82" s="50"/>
      <c r="U82" s="50"/>
      <c r="V82" s="50"/>
      <c r="W82" s="50"/>
      <c r="X82" s="50"/>
      <c r="Y82" s="50"/>
      <c r="Z82" s="50"/>
    </row>
    <row r="83" spans="1:26" ht="15.75" customHeight="1">
      <c r="A83" s="10"/>
      <c r="B83" s="10" t="s">
        <v>22</v>
      </c>
      <c r="C83" s="10" t="s">
        <v>160</v>
      </c>
      <c r="D83" s="72" t="s">
        <v>339</v>
      </c>
      <c r="E83" s="73"/>
      <c r="F83" s="10"/>
      <c r="G83" s="10"/>
      <c r="H83" s="10" t="s">
        <v>590</v>
      </c>
      <c r="I83" s="66">
        <v>35</v>
      </c>
      <c r="J83" s="66">
        <v>38</v>
      </c>
      <c r="K83" s="66">
        <v>40</v>
      </c>
      <c r="L83" s="66">
        <v>50</v>
      </c>
      <c r="M83" s="66">
        <v>124</v>
      </c>
      <c r="N83" s="66">
        <v>147</v>
      </c>
      <c r="O83" s="66">
        <v>177</v>
      </c>
      <c r="P83" s="66">
        <v>206</v>
      </c>
      <c r="Q83" s="66">
        <v>206</v>
      </c>
      <c r="R83" s="66">
        <v>12</v>
      </c>
      <c r="S83" s="66">
        <v>47</v>
      </c>
      <c r="T83" s="50"/>
      <c r="U83" s="50"/>
      <c r="V83" s="50"/>
      <c r="W83" s="50"/>
      <c r="X83" s="50"/>
      <c r="Y83" s="50"/>
      <c r="Z83" s="50"/>
    </row>
    <row r="84" spans="1:26" ht="15.75" customHeight="1">
      <c r="A84" s="10"/>
      <c r="B84" s="10" t="s">
        <v>22</v>
      </c>
      <c r="C84" s="10" t="s">
        <v>162</v>
      </c>
      <c r="D84" s="72" t="s">
        <v>339</v>
      </c>
      <c r="E84" s="73"/>
      <c r="F84" s="10"/>
      <c r="G84" s="10"/>
      <c r="H84" s="10" t="s">
        <v>593</v>
      </c>
      <c r="I84" s="66">
        <v>35</v>
      </c>
      <c r="J84" s="66">
        <v>38</v>
      </c>
      <c r="K84" s="66">
        <v>40</v>
      </c>
      <c r="L84" s="66">
        <v>50</v>
      </c>
      <c r="M84" s="66">
        <v>88</v>
      </c>
      <c r="N84" s="66">
        <v>147</v>
      </c>
      <c r="O84" s="66">
        <v>177</v>
      </c>
      <c r="P84" s="66">
        <v>206</v>
      </c>
      <c r="Q84" s="66">
        <v>206</v>
      </c>
      <c r="R84" s="66">
        <v>12</v>
      </c>
      <c r="S84" s="66">
        <v>47</v>
      </c>
      <c r="T84" s="50"/>
      <c r="U84" s="50"/>
      <c r="V84" s="50"/>
      <c r="W84" s="50"/>
      <c r="X84" s="50"/>
      <c r="Y84" s="50"/>
      <c r="Z84" s="50"/>
    </row>
    <row r="85" spans="1:26" ht="15.75" customHeight="1">
      <c r="A85" s="10"/>
      <c r="B85" s="10" t="s">
        <v>22</v>
      </c>
      <c r="C85" s="10" t="s">
        <v>164</v>
      </c>
      <c r="D85" s="72" t="s">
        <v>339</v>
      </c>
      <c r="E85" s="73"/>
      <c r="F85" s="10"/>
      <c r="G85" s="10"/>
      <c r="H85" s="10" t="s">
        <v>590</v>
      </c>
      <c r="I85" s="66">
        <v>35</v>
      </c>
      <c r="J85" s="66">
        <v>38</v>
      </c>
      <c r="K85" s="66">
        <v>40</v>
      </c>
      <c r="L85" s="66">
        <v>50</v>
      </c>
      <c r="M85" s="66">
        <v>88</v>
      </c>
      <c r="N85" s="66">
        <v>147</v>
      </c>
      <c r="O85" s="66">
        <v>177</v>
      </c>
      <c r="P85" s="66">
        <v>206</v>
      </c>
      <c r="Q85" s="66">
        <v>206</v>
      </c>
      <c r="R85" s="66">
        <v>12</v>
      </c>
      <c r="S85" s="66">
        <v>47</v>
      </c>
      <c r="T85" s="50"/>
      <c r="U85" s="50"/>
      <c r="V85" s="50"/>
      <c r="W85" s="50"/>
      <c r="X85" s="50"/>
      <c r="Y85" s="50"/>
      <c r="Z85" s="50"/>
    </row>
    <row r="86" spans="1:26" ht="15.75" customHeight="1">
      <c r="A86" s="10"/>
      <c r="B86" s="10" t="s">
        <v>22</v>
      </c>
      <c r="C86" s="10" t="s">
        <v>414</v>
      </c>
      <c r="D86" s="72" t="s">
        <v>339</v>
      </c>
      <c r="E86" s="73"/>
      <c r="F86" s="10"/>
      <c r="G86" s="10"/>
      <c r="H86" s="10" t="s">
        <v>594</v>
      </c>
      <c r="I86" s="66">
        <v>35</v>
      </c>
      <c r="J86" s="66">
        <v>38</v>
      </c>
      <c r="K86" s="66">
        <v>40</v>
      </c>
      <c r="L86" s="66">
        <v>50</v>
      </c>
      <c r="M86" s="66">
        <v>88</v>
      </c>
      <c r="N86" s="66">
        <v>147</v>
      </c>
      <c r="O86" s="66">
        <v>177</v>
      </c>
      <c r="P86" s="66">
        <v>206</v>
      </c>
      <c r="Q86" s="66">
        <v>206</v>
      </c>
      <c r="R86" s="66">
        <v>12</v>
      </c>
      <c r="S86" s="66">
        <v>47</v>
      </c>
      <c r="T86" s="50"/>
      <c r="U86" s="50"/>
      <c r="V86" s="50"/>
      <c r="W86" s="50"/>
      <c r="X86" s="50"/>
      <c r="Y86" s="50"/>
      <c r="Z86" s="50"/>
    </row>
    <row r="87" spans="1:26" ht="15.75" customHeight="1">
      <c r="A87" s="10"/>
      <c r="B87" s="10" t="s">
        <v>22</v>
      </c>
      <c r="C87" s="10" t="s">
        <v>416</v>
      </c>
      <c r="D87" s="72" t="s">
        <v>339</v>
      </c>
      <c r="E87" s="73"/>
      <c r="F87" s="10"/>
      <c r="G87" s="10"/>
      <c r="H87" s="10" t="s">
        <v>595</v>
      </c>
      <c r="I87" s="66">
        <v>35</v>
      </c>
      <c r="J87" s="66">
        <v>38</v>
      </c>
      <c r="K87" s="66">
        <v>40</v>
      </c>
      <c r="L87" s="66">
        <v>50</v>
      </c>
      <c r="M87" s="66">
        <v>88</v>
      </c>
      <c r="N87" s="66">
        <v>147</v>
      </c>
      <c r="O87" s="66">
        <v>177</v>
      </c>
      <c r="P87" s="66">
        <v>206</v>
      </c>
      <c r="Q87" s="66">
        <v>206</v>
      </c>
      <c r="R87" s="66">
        <v>12</v>
      </c>
      <c r="S87" s="66">
        <v>47</v>
      </c>
      <c r="T87" s="50"/>
      <c r="U87" s="50"/>
      <c r="V87" s="50"/>
      <c r="W87" s="50"/>
      <c r="X87" s="50"/>
      <c r="Y87" s="50"/>
      <c r="Z87" s="50"/>
    </row>
    <row r="88" spans="1:26" ht="15.75" customHeight="1">
      <c r="A88" s="10"/>
      <c r="B88" s="10" t="s">
        <v>22</v>
      </c>
      <c r="C88" s="10" t="s">
        <v>170</v>
      </c>
      <c r="D88" s="72" t="s">
        <v>339</v>
      </c>
      <c r="E88" s="73"/>
      <c r="F88" s="10"/>
      <c r="G88" s="10"/>
      <c r="H88" s="10" t="s">
        <v>596</v>
      </c>
      <c r="I88" s="66">
        <v>35</v>
      </c>
      <c r="J88" s="66">
        <v>38</v>
      </c>
      <c r="K88" s="66">
        <v>40</v>
      </c>
      <c r="L88" s="66">
        <v>50</v>
      </c>
      <c r="M88" s="66">
        <v>88</v>
      </c>
      <c r="N88" s="66">
        <v>147</v>
      </c>
      <c r="O88" s="66">
        <v>177</v>
      </c>
      <c r="P88" s="66">
        <v>206</v>
      </c>
      <c r="Q88" s="66">
        <v>206</v>
      </c>
      <c r="R88" s="66">
        <v>12</v>
      </c>
      <c r="S88" s="66">
        <v>47</v>
      </c>
      <c r="T88" s="50"/>
      <c r="U88" s="50"/>
      <c r="V88" s="50"/>
      <c r="W88" s="50"/>
      <c r="X88" s="50"/>
      <c r="Y88" s="50"/>
      <c r="Z88" s="50"/>
    </row>
    <row r="89" spans="1:26" ht="15.75" customHeight="1">
      <c r="A89" s="10"/>
      <c r="B89" s="10" t="s">
        <v>22</v>
      </c>
      <c r="C89" s="10" t="s">
        <v>172</v>
      </c>
      <c r="D89" s="72" t="s">
        <v>339</v>
      </c>
      <c r="E89" s="73"/>
      <c r="F89" s="10"/>
      <c r="G89" s="10"/>
      <c r="H89" s="10" t="s">
        <v>597</v>
      </c>
      <c r="I89" s="66">
        <v>35</v>
      </c>
      <c r="J89" s="66">
        <v>38</v>
      </c>
      <c r="K89" s="66">
        <v>40</v>
      </c>
      <c r="L89" s="66">
        <v>50</v>
      </c>
      <c r="M89" s="66">
        <v>88</v>
      </c>
      <c r="N89" s="66">
        <v>147</v>
      </c>
      <c r="O89" s="66">
        <v>177</v>
      </c>
      <c r="P89" s="66">
        <v>206</v>
      </c>
      <c r="Q89" s="66">
        <v>206</v>
      </c>
      <c r="R89" s="66">
        <v>12</v>
      </c>
      <c r="S89" s="66">
        <v>47</v>
      </c>
      <c r="T89" s="50"/>
      <c r="U89" s="50"/>
      <c r="V89" s="50"/>
      <c r="W89" s="50"/>
      <c r="X89" s="50"/>
      <c r="Y89" s="50"/>
      <c r="Z89" s="50"/>
    </row>
    <row r="90" spans="1:26" ht="15.75" customHeight="1">
      <c r="A90" s="10"/>
      <c r="B90" s="10" t="s">
        <v>22</v>
      </c>
      <c r="C90" s="10" t="s">
        <v>174</v>
      </c>
      <c r="D90" s="72" t="s">
        <v>339</v>
      </c>
      <c r="E90" s="73"/>
      <c r="F90" s="10"/>
      <c r="G90" s="10"/>
      <c r="H90" s="10" t="s">
        <v>598</v>
      </c>
      <c r="I90" s="66">
        <v>35</v>
      </c>
      <c r="J90" s="66">
        <v>38</v>
      </c>
      <c r="K90" s="66">
        <v>40</v>
      </c>
      <c r="L90" s="66">
        <v>50</v>
      </c>
      <c r="M90" s="66">
        <v>88</v>
      </c>
      <c r="N90" s="66">
        <v>147</v>
      </c>
      <c r="O90" s="66">
        <v>177</v>
      </c>
      <c r="P90" s="66">
        <v>206</v>
      </c>
      <c r="Q90" s="66">
        <v>206</v>
      </c>
      <c r="R90" s="66">
        <v>12</v>
      </c>
      <c r="S90" s="66">
        <v>47</v>
      </c>
      <c r="T90" s="50"/>
      <c r="U90" s="50"/>
      <c r="V90" s="50"/>
      <c r="W90" s="50"/>
      <c r="X90" s="50"/>
      <c r="Y90" s="50"/>
      <c r="Z90" s="50"/>
    </row>
    <row r="91" spans="1:26" ht="15.75" customHeight="1">
      <c r="A91" s="10"/>
      <c r="B91" s="10" t="s">
        <v>22</v>
      </c>
      <c r="C91" s="10" t="s">
        <v>176</v>
      </c>
      <c r="D91" s="72" t="s">
        <v>339</v>
      </c>
      <c r="E91" s="73"/>
      <c r="F91" s="10"/>
      <c r="G91" s="10"/>
      <c r="H91" s="10" t="s">
        <v>599</v>
      </c>
      <c r="I91" s="66">
        <v>35</v>
      </c>
      <c r="J91" s="66">
        <v>38</v>
      </c>
      <c r="K91" s="66">
        <v>40</v>
      </c>
      <c r="L91" s="66">
        <v>50</v>
      </c>
      <c r="M91" s="66">
        <v>88</v>
      </c>
      <c r="N91" s="66">
        <v>147</v>
      </c>
      <c r="O91" s="66">
        <v>177</v>
      </c>
      <c r="P91" s="66">
        <v>206</v>
      </c>
      <c r="Q91" s="66">
        <v>206</v>
      </c>
      <c r="R91" s="66">
        <v>12</v>
      </c>
      <c r="S91" s="66">
        <v>47</v>
      </c>
      <c r="T91" s="50"/>
      <c r="U91" s="50"/>
      <c r="V91" s="50"/>
      <c r="W91" s="50"/>
      <c r="X91" s="50"/>
      <c r="Y91" s="50"/>
      <c r="Z91" s="50"/>
    </row>
    <row r="92" spans="1:26" ht="15.75" customHeight="1">
      <c r="A92" s="10"/>
      <c r="B92" s="10" t="s">
        <v>22</v>
      </c>
      <c r="C92" s="10" t="s">
        <v>178</v>
      </c>
      <c r="D92" s="72" t="s">
        <v>339</v>
      </c>
      <c r="E92" s="73"/>
      <c r="F92" s="10"/>
      <c r="G92" s="10"/>
      <c r="H92" s="10" t="s">
        <v>600</v>
      </c>
      <c r="I92" s="66">
        <v>35</v>
      </c>
      <c r="J92" s="66">
        <v>38</v>
      </c>
      <c r="K92" s="66">
        <v>40</v>
      </c>
      <c r="L92" s="66">
        <v>50</v>
      </c>
      <c r="M92" s="66">
        <v>88</v>
      </c>
      <c r="N92" s="66">
        <v>147</v>
      </c>
      <c r="O92" s="66">
        <v>177</v>
      </c>
      <c r="P92" s="66">
        <v>206</v>
      </c>
      <c r="Q92" s="66">
        <v>206</v>
      </c>
      <c r="R92" s="66">
        <v>12</v>
      </c>
      <c r="S92" s="66">
        <v>47</v>
      </c>
      <c r="T92" s="50"/>
      <c r="U92" s="50"/>
      <c r="V92" s="50"/>
      <c r="W92" s="50"/>
      <c r="X92" s="50"/>
      <c r="Y92" s="50"/>
      <c r="Z92" s="50"/>
    </row>
    <row r="93" spans="1:26" ht="15.75" customHeight="1">
      <c r="A93" s="10"/>
      <c r="B93" s="10" t="s">
        <v>22</v>
      </c>
      <c r="C93" s="10" t="s">
        <v>180</v>
      </c>
      <c r="D93" s="72" t="s">
        <v>339</v>
      </c>
      <c r="E93" s="73"/>
      <c r="F93" s="10"/>
      <c r="G93" s="10"/>
      <c r="H93" s="10" t="s">
        <v>598</v>
      </c>
      <c r="I93" s="66">
        <v>41</v>
      </c>
      <c r="J93" s="66">
        <v>47</v>
      </c>
      <c r="K93" s="66">
        <v>47</v>
      </c>
      <c r="L93" s="66">
        <v>59</v>
      </c>
      <c r="M93" s="66">
        <v>124</v>
      </c>
      <c r="N93" s="66">
        <v>147</v>
      </c>
      <c r="O93" s="66">
        <v>177</v>
      </c>
      <c r="P93" s="66">
        <v>206</v>
      </c>
      <c r="Q93" s="66">
        <v>206</v>
      </c>
      <c r="R93" s="66">
        <v>12</v>
      </c>
      <c r="S93" s="66">
        <v>47</v>
      </c>
      <c r="T93" s="50"/>
      <c r="U93" s="50"/>
      <c r="V93" s="50"/>
      <c r="W93" s="50"/>
      <c r="X93" s="50"/>
      <c r="Y93" s="50"/>
      <c r="Z93" s="50"/>
    </row>
    <row r="94" spans="1:26" ht="15.75" customHeight="1">
      <c r="A94" s="10"/>
      <c r="B94" s="10" t="s">
        <v>22</v>
      </c>
      <c r="C94" s="10" t="s">
        <v>182</v>
      </c>
      <c r="D94" s="72" t="s">
        <v>339</v>
      </c>
      <c r="E94" s="73"/>
      <c r="F94" s="10"/>
      <c r="G94" s="10"/>
      <c r="H94" s="10" t="s">
        <v>601</v>
      </c>
      <c r="I94" s="66">
        <v>35</v>
      </c>
      <c r="J94" s="66">
        <v>38</v>
      </c>
      <c r="K94" s="66">
        <v>40</v>
      </c>
      <c r="L94" s="66">
        <v>50</v>
      </c>
      <c r="M94" s="66">
        <v>88</v>
      </c>
      <c r="N94" s="66">
        <v>147</v>
      </c>
      <c r="O94" s="66">
        <v>177</v>
      </c>
      <c r="P94" s="66">
        <v>206</v>
      </c>
      <c r="Q94" s="66">
        <v>206</v>
      </c>
      <c r="R94" s="66">
        <v>12</v>
      </c>
      <c r="S94" s="66">
        <v>47</v>
      </c>
      <c r="T94" s="50"/>
      <c r="U94" s="50"/>
      <c r="V94" s="50"/>
      <c r="W94" s="50"/>
      <c r="X94" s="50"/>
      <c r="Y94" s="50"/>
      <c r="Z94" s="50"/>
    </row>
    <row r="95" spans="1:26" ht="15.75" customHeight="1">
      <c r="A95" s="10"/>
      <c r="B95" s="10" t="s">
        <v>22</v>
      </c>
      <c r="C95" s="10" t="s">
        <v>184</v>
      </c>
      <c r="D95" s="72" t="s">
        <v>339</v>
      </c>
      <c r="E95" s="73"/>
      <c r="F95" s="10"/>
      <c r="G95" s="10"/>
      <c r="H95" s="10" t="s">
        <v>598</v>
      </c>
      <c r="I95" s="66">
        <v>35</v>
      </c>
      <c r="J95" s="66">
        <v>38</v>
      </c>
      <c r="K95" s="66">
        <v>40</v>
      </c>
      <c r="L95" s="66">
        <v>50</v>
      </c>
      <c r="M95" s="66">
        <v>88</v>
      </c>
      <c r="N95" s="66">
        <v>147</v>
      </c>
      <c r="O95" s="66">
        <v>177</v>
      </c>
      <c r="P95" s="66">
        <v>206</v>
      </c>
      <c r="Q95" s="66">
        <v>206</v>
      </c>
      <c r="R95" s="66">
        <v>12</v>
      </c>
      <c r="S95" s="66">
        <v>47</v>
      </c>
      <c r="T95" s="50"/>
      <c r="U95" s="50"/>
      <c r="V95" s="50"/>
      <c r="W95" s="50"/>
      <c r="X95" s="50"/>
      <c r="Y95" s="50"/>
      <c r="Z95" s="50"/>
    </row>
    <row r="96" spans="1:26" ht="15.75" customHeight="1">
      <c r="A96" s="10"/>
      <c r="B96" s="10" t="s">
        <v>22</v>
      </c>
      <c r="C96" s="10" t="s">
        <v>186</v>
      </c>
      <c r="D96" s="72" t="s">
        <v>339</v>
      </c>
      <c r="E96" s="73"/>
      <c r="F96" s="10"/>
      <c r="G96" s="10"/>
      <c r="H96" s="10" t="s">
        <v>602</v>
      </c>
      <c r="I96" s="66">
        <v>35</v>
      </c>
      <c r="J96" s="66">
        <v>38</v>
      </c>
      <c r="K96" s="66">
        <v>40</v>
      </c>
      <c r="L96" s="66">
        <v>50</v>
      </c>
      <c r="M96" s="66">
        <v>88</v>
      </c>
      <c r="N96" s="66">
        <v>147</v>
      </c>
      <c r="O96" s="66">
        <v>177</v>
      </c>
      <c r="P96" s="66">
        <v>206</v>
      </c>
      <c r="Q96" s="66">
        <v>206</v>
      </c>
      <c r="R96" s="66">
        <v>12</v>
      </c>
      <c r="S96" s="66">
        <v>47</v>
      </c>
      <c r="T96" s="50"/>
      <c r="U96" s="50"/>
      <c r="V96" s="50"/>
      <c r="W96" s="50"/>
      <c r="X96" s="50"/>
      <c r="Y96" s="50"/>
      <c r="Z96" s="50"/>
    </row>
    <row r="97" spans="1:26" ht="15.75" customHeight="1">
      <c r="A97" s="10"/>
      <c r="B97" s="10" t="s">
        <v>22</v>
      </c>
      <c r="C97" s="10" t="s">
        <v>188</v>
      </c>
      <c r="D97" s="72" t="s">
        <v>339</v>
      </c>
      <c r="E97" s="73"/>
      <c r="F97" s="10"/>
      <c r="G97" s="10"/>
      <c r="H97" s="10" t="s">
        <v>603</v>
      </c>
      <c r="I97" s="66">
        <v>35</v>
      </c>
      <c r="J97" s="66">
        <v>38</v>
      </c>
      <c r="K97" s="66">
        <v>40</v>
      </c>
      <c r="L97" s="66">
        <v>50</v>
      </c>
      <c r="M97" s="66">
        <v>88</v>
      </c>
      <c r="N97" s="66">
        <v>147</v>
      </c>
      <c r="O97" s="66">
        <v>177</v>
      </c>
      <c r="P97" s="66">
        <v>206</v>
      </c>
      <c r="Q97" s="66">
        <v>206</v>
      </c>
      <c r="R97" s="66">
        <v>12</v>
      </c>
      <c r="S97" s="66">
        <v>47</v>
      </c>
      <c r="T97" s="50"/>
      <c r="U97" s="50"/>
      <c r="V97" s="50"/>
      <c r="W97" s="50"/>
      <c r="X97" s="50"/>
      <c r="Y97" s="50"/>
      <c r="Z97" s="50"/>
    </row>
    <row r="98" spans="1:26" ht="15.75" customHeight="1">
      <c r="A98" s="10"/>
      <c r="B98" s="10" t="s">
        <v>22</v>
      </c>
      <c r="C98" s="10" t="s">
        <v>190</v>
      </c>
      <c r="D98" s="72" t="s">
        <v>339</v>
      </c>
      <c r="E98" s="73"/>
      <c r="F98" s="10"/>
      <c r="G98" s="10"/>
      <c r="H98" s="10" t="s">
        <v>604</v>
      </c>
      <c r="I98" s="66">
        <v>35</v>
      </c>
      <c r="J98" s="66">
        <v>38</v>
      </c>
      <c r="K98" s="66">
        <v>40</v>
      </c>
      <c r="L98" s="66">
        <v>50</v>
      </c>
      <c r="M98" s="66">
        <v>88</v>
      </c>
      <c r="N98" s="66">
        <v>147</v>
      </c>
      <c r="O98" s="66">
        <v>177</v>
      </c>
      <c r="P98" s="66">
        <v>206</v>
      </c>
      <c r="Q98" s="66">
        <v>206</v>
      </c>
      <c r="R98" s="66">
        <v>12</v>
      </c>
      <c r="S98" s="66">
        <v>47</v>
      </c>
      <c r="T98" s="50"/>
      <c r="U98" s="50"/>
      <c r="V98" s="50"/>
      <c r="W98" s="50"/>
      <c r="X98" s="50"/>
      <c r="Y98" s="50"/>
      <c r="Z98" s="50"/>
    </row>
    <row r="99" spans="1:26" ht="15.75" customHeight="1">
      <c r="A99" s="10"/>
      <c r="B99" s="10" t="s">
        <v>22</v>
      </c>
      <c r="C99" s="10" t="s">
        <v>192</v>
      </c>
      <c r="D99" s="72" t="s">
        <v>339</v>
      </c>
      <c r="E99" s="73"/>
      <c r="F99" s="10"/>
      <c r="G99" s="10"/>
      <c r="H99" s="10" t="s">
        <v>515</v>
      </c>
      <c r="I99" s="66">
        <v>35</v>
      </c>
      <c r="J99" s="66">
        <v>38</v>
      </c>
      <c r="K99" s="66">
        <v>40</v>
      </c>
      <c r="L99" s="66">
        <v>50</v>
      </c>
      <c r="M99" s="66">
        <v>88</v>
      </c>
      <c r="N99" s="66">
        <v>147</v>
      </c>
      <c r="O99" s="66">
        <v>177</v>
      </c>
      <c r="P99" s="66">
        <v>206</v>
      </c>
      <c r="Q99" s="66">
        <v>206</v>
      </c>
      <c r="R99" s="66">
        <v>12</v>
      </c>
      <c r="S99" s="66">
        <v>47</v>
      </c>
      <c r="T99" s="50"/>
      <c r="U99" s="50"/>
      <c r="V99" s="50"/>
      <c r="W99" s="50"/>
      <c r="X99" s="50"/>
      <c r="Y99" s="50"/>
      <c r="Z99" s="50"/>
    </row>
    <row r="100" spans="1:26" ht="15.75" customHeight="1">
      <c r="A100" s="10"/>
      <c r="B100" s="10" t="s">
        <v>22</v>
      </c>
      <c r="C100" s="10" t="s">
        <v>194</v>
      </c>
      <c r="D100" s="72" t="s">
        <v>339</v>
      </c>
      <c r="E100" s="73"/>
      <c r="F100" s="10"/>
      <c r="G100" s="10"/>
      <c r="H100" s="10" t="s">
        <v>605</v>
      </c>
      <c r="I100" s="66">
        <v>35</v>
      </c>
      <c r="J100" s="66">
        <v>38</v>
      </c>
      <c r="K100" s="66">
        <v>40</v>
      </c>
      <c r="L100" s="66">
        <v>50</v>
      </c>
      <c r="M100" s="66">
        <v>88</v>
      </c>
      <c r="N100" s="66">
        <v>147</v>
      </c>
      <c r="O100" s="66">
        <v>177</v>
      </c>
      <c r="P100" s="66">
        <v>206</v>
      </c>
      <c r="Q100" s="66">
        <v>206</v>
      </c>
      <c r="R100" s="66">
        <v>12</v>
      </c>
      <c r="S100" s="66">
        <v>47</v>
      </c>
      <c r="T100" s="50"/>
      <c r="U100" s="50"/>
      <c r="V100" s="50"/>
      <c r="W100" s="50"/>
      <c r="X100" s="50"/>
      <c r="Y100" s="50"/>
      <c r="Z100" s="50"/>
    </row>
    <row r="101" spans="1:26" ht="15.75" customHeight="1">
      <c r="A101" s="10"/>
      <c r="B101" s="10" t="s">
        <v>22</v>
      </c>
      <c r="C101" s="10" t="s">
        <v>196</v>
      </c>
      <c r="D101" s="72" t="s">
        <v>339</v>
      </c>
      <c r="E101" s="73"/>
      <c r="F101" s="10"/>
      <c r="G101" s="10"/>
      <c r="H101" s="10" t="s">
        <v>517</v>
      </c>
      <c r="I101" s="66">
        <v>41</v>
      </c>
      <c r="J101" s="66">
        <v>47</v>
      </c>
      <c r="K101" s="66">
        <v>47</v>
      </c>
      <c r="L101" s="66">
        <v>59</v>
      </c>
      <c r="M101" s="66">
        <v>124</v>
      </c>
      <c r="N101" s="66">
        <v>147</v>
      </c>
      <c r="O101" s="66">
        <v>177</v>
      </c>
      <c r="P101" s="66">
        <v>206</v>
      </c>
      <c r="Q101" s="66">
        <v>206</v>
      </c>
      <c r="R101" s="66">
        <v>12</v>
      </c>
      <c r="S101" s="66">
        <v>47</v>
      </c>
      <c r="T101" s="50"/>
      <c r="U101" s="50"/>
      <c r="V101" s="50"/>
      <c r="W101" s="50"/>
      <c r="X101" s="50"/>
      <c r="Y101" s="50"/>
      <c r="Z101" s="50"/>
    </row>
    <row r="102" spans="1:26" ht="15.75" customHeight="1">
      <c r="A102" s="10"/>
      <c r="B102" s="10" t="s">
        <v>22</v>
      </c>
      <c r="C102" s="10" t="s">
        <v>198</v>
      </c>
      <c r="D102" s="72" t="s">
        <v>339</v>
      </c>
      <c r="E102" s="73"/>
      <c r="F102" s="10"/>
      <c r="G102" s="10"/>
      <c r="H102" s="10" t="s">
        <v>606</v>
      </c>
      <c r="I102" s="66">
        <v>35</v>
      </c>
      <c r="J102" s="66">
        <v>38</v>
      </c>
      <c r="K102" s="66">
        <v>40</v>
      </c>
      <c r="L102" s="66">
        <v>50</v>
      </c>
      <c r="M102" s="66">
        <v>88</v>
      </c>
      <c r="N102" s="66">
        <v>147</v>
      </c>
      <c r="O102" s="66">
        <v>177</v>
      </c>
      <c r="P102" s="66">
        <v>206</v>
      </c>
      <c r="Q102" s="66">
        <v>206</v>
      </c>
      <c r="R102" s="66">
        <v>12</v>
      </c>
      <c r="S102" s="66">
        <v>47</v>
      </c>
      <c r="T102" s="50"/>
      <c r="U102" s="50"/>
      <c r="V102" s="50"/>
      <c r="W102" s="50"/>
      <c r="X102" s="50"/>
      <c r="Y102" s="50"/>
      <c r="Z102" s="50"/>
    </row>
    <row r="103" spans="1:26" ht="15.75" customHeight="1">
      <c r="A103" s="10"/>
      <c r="B103" s="10" t="s">
        <v>22</v>
      </c>
      <c r="C103" s="10" t="s">
        <v>200</v>
      </c>
      <c r="D103" s="72" t="s">
        <v>339</v>
      </c>
      <c r="E103" s="73"/>
      <c r="F103" s="10"/>
      <c r="G103" s="10"/>
      <c r="H103" s="10" t="s">
        <v>517</v>
      </c>
      <c r="I103" s="66">
        <v>35</v>
      </c>
      <c r="J103" s="66">
        <v>38</v>
      </c>
      <c r="K103" s="66">
        <v>40</v>
      </c>
      <c r="L103" s="66">
        <v>50</v>
      </c>
      <c r="M103" s="66">
        <v>88</v>
      </c>
      <c r="N103" s="66">
        <v>147</v>
      </c>
      <c r="O103" s="66">
        <v>177</v>
      </c>
      <c r="P103" s="66">
        <v>206</v>
      </c>
      <c r="Q103" s="66">
        <v>206</v>
      </c>
      <c r="R103" s="66">
        <v>12</v>
      </c>
      <c r="S103" s="66">
        <v>47</v>
      </c>
      <c r="T103" s="50"/>
      <c r="U103" s="50"/>
      <c r="V103" s="50"/>
      <c r="W103" s="50"/>
      <c r="X103" s="50"/>
      <c r="Y103" s="50"/>
      <c r="Z103" s="50"/>
    </row>
    <row r="104" spans="1:26" ht="15.75" customHeight="1">
      <c r="A104" s="10"/>
      <c r="B104" s="10" t="s">
        <v>22</v>
      </c>
      <c r="C104" s="10" t="s">
        <v>202</v>
      </c>
      <c r="D104" s="72" t="s">
        <v>339</v>
      </c>
      <c r="E104" s="73"/>
      <c r="F104" s="10"/>
      <c r="G104" s="10"/>
      <c r="H104" s="10" t="s">
        <v>519</v>
      </c>
      <c r="I104" s="66">
        <v>35</v>
      </c>
      <c r="J104" s="66">
        <v>38</v>
      </c>
      <c r="K104" s="66">
        <v>40</v>
      </c>
      <c r="L104" s="66">
        <v>50</v>
      </c>
      <c r="M104" s="66">
        <v>88</v>
      </c>
      <c r="N104" s="66">
        <v>147</v>
      </c>
      <c r="O104" s="66">
        <v>177</v>
      </c>
      <c r="P104" s="66">
        <v>206</v>
      </c>
      <c r="Q104" s="66">
        <v>206</v>
      </c>
      <c r="R104" s="66">
        <v>12</v>
      </c>
      <c r="S104" s="66">
        <v>47</v>
      </c>
      <c r="T104" s="50"/>
      <c r="U104" s="50"/>
      <c r="V104" s="50"/>
      <c r="W104" s="50"/>
      <c r="X104" s="50"/>
      <c r="Y104" s="50"/>
      <c r="Z104" s="50"/>
    </row>
    <row r="105" spans="1:26" ht="15.75" customHeight="1">
      <c r="A105" s="10"/>
      <c r="B105" s="10" t="s">
        <v>22</v>
      </c>
      <c r="C105" s="10" t="s">
        <v>204</v>
      </c>
      <c r="D105" s="72" t="s">
        <v>339</v>
      </c>
      <c r="E105" s="73"/>
      <c r="F105" s="10"/>
      <c r="G105" s="10"/>
      <c r="H105" s="10" t="s">
        <v>520</v>
      </c>
      <c r="I105" s="66">
        <v>35</v>
      </c>
      <c r="J105" s="66">
        <v>38</v>
      </c>
      <c r="K105" s="66">
        <v>40</v>
      </c>
      <c r="L105" s="66">
        <v>50</v>
      </c>
      <c r="M105" s="66">
        <v>88</v>
      </c>
      <c r="N105" s="66">
        <v>147</v>
      </c>
      <c r="O105" s="66">
        <v>177</v>
      </c>
      <c r="P105" s="66">
        <v>206</v>
      </c>
      <c r="Q105" s="66">
        <v>206</v>
      </c>
      <c r="R105" s="66">
        <v>12</v>
      </c>
      <c r="S105" s="66">
        <v>47</v>
      </c>
      <c r="T105" s="50"/>
      <c r="U105" s="50"/>
      <c r="V105" s="50"/>
      <c r="W105" s="50"/>
      <c r="X105" s="50"/>
      <c r="Y105" s="50"/>
      <c r="Z105" s="50"/>
    </row>
    <row r="106" spans="1:26" ht="15.75" customHeight="1">
      <c r="A106" s="10"/>
      <c r="B106" s="10" t="s">
        <v>22</v>
      </c>
      <c r="C106" s="10" t="s">
        <v>206</v>
      </c>
      <c r="D106" s="72" t="s">
        <v>339</v>
      </c>
      <c r="E106" s="73"/>
      <c r="F106" s="10"/>
      <c r="G106" s="10"/>
      <c r="H106" s="10" t="s">
        <v>517</v>
      </c>
      <c r="I106" s="66">
        <v>35</v>
      </c>
      <c r="J106" s="66">
        <v>38</v>
      </c>
      <c r="K106" s="66">
        <v>40</v>
      </c>
      <c r="L106" s="66">
        <v>50</v>
      </c>
      <c r="M106" s="66">
        <v>88</v>
      </c>
      <c r="N106" s="66">
        <v>147</v>
      </c>
      <c r="O106" s="66">
        <v>177</v>
      </c>
      <c r="P106" s="66">
        <v>206</v>
      </c>
      <c r="Q106" s="66">
        <v>206</v>
      </c>
      <c r="R106" s="66">
        <v>12</v>
      </c>
      <c r="S106" s="66">
        <v>47</v>
      </c>
      <c r="T106" s="50"/>
      <c r="U106" s="50"/>
      <c r="V106" s="50"/>
      <c r="W106" s="50"/>
      <c r="X106" s="50"/>
      <c r="Y106" s="50"/>
      <c r="Z106" s="50"/>
    </row>
    <row r="107" spans="1:26" ht="15.75" customHeight="1">
      <c r="A107" s="10"/>
      <c r="B107" s="10" t="s">
        <v>22</v>
      </c>
      <c r="C107" s="10" t="s">
        <v>208</v>
      </c>
      <c r="D107" s="72" t="s">
        <v>339</v>
      </c>
      <c r="E107" s="73"/>
      <c r="F107" s="10"/>
      <c r="G107" s="10"/>
      <c r="H107" s="10" t="s">
        <v>607</v>
      </c>
      <c r="I107" s="66">
        <v>35</v>
      </c>
      <c r="J107" s="66">
        <v>38</v>
      </c>
      <c r="K107" s="66">
        <v>40</v>
      </c>
      <c r="L107" s="66">
        <v>50</v>
      </c>
      <c r="M107" s="66">
        <v>88</v>
      </c>
      <c r="N107" s="66">
        <v>147</v>
      </c>
      <c r="O107" s="66">
        <v>177</v>
      </c>
      <c r="P107" s="66">
        <v>206</v>
      </c>
      <c r="Q107" s="66">
        <v>206</v>
      </c>
      <c r="R107" s="66">
        <v>12</v>
      </c>
      <c r="S107" s="66">
        <v>47</v>
      </c>
      <c r="T107" s="50"/>
      <c r="U107" s="50"/>
      <c r="V107" s="50"/>
      <c r="W107" s="50"/>
      <c r="X107" s="50"/>
      <c r="Y107" s="50"/>
      <c r="Z107" s="50"/>
    </row>
    <row r="108" spans="1:26" ht="15.75" customHeight="1">
      <c r="A108" s="10"/>
      <c r="B108" s="10" t="s">
        <v>22</v>
      </c>
      <c r="C108" s="10" t="s">
        <v>210</v>
      </c>
      <c r="D108" s="72" t="s">
        <v>339</v>
      </c>
      <c r="E108" s="73"/>
      <c r="F108" s="10"/>
      <c r="G108" s="10"/>
      <c r="H108" s="10" t="s">
        <v>522</v>
      </c>
      <c r="I108" s="66">
        <v>41</v>
      </c>
      <c r="J108" s="66">
        <v>47</v>
      </c>
      <c r="K108" s="66">
        <v>47</v>
      </c>
      <c r="L108" s="66">
        <v>59</v>
      </c>
      <c r="M108" s="66">
        <v>124</v>
      </c>
      <c r="N108" s="66">
        <v>147</v>
      </c>
      <c r="O108" s="66">
        <v>177</v>
      </c>
      <c r="P108" s="66">
        <v>206</v>
      </c>
      <c r="Q108" s="66">
        <v>206</v>
      </c>
      <c r="R108" s="66">
        <v>12</v>
      </c>
      <c r="S108" s="66">
        <v>47</v>
      </c>
      <c r="T108" s="50"/>
      <c r="U108" s="50"/>
      <c r="V108" s="50"/>
      <c r="W108" s="50"/>
      <c r="X108" s="50"/>
      <c r="Y108" s="50"/>
      <c r="Z108" s="50"/>
    </row>
    <row r="109" spans="1:26" ht="15.75" customHeight="1">
      <c r="A109" s="10"/>
      <c r="B109" s="10" t="s">
        <v>22</v>
      </c>
      <c r="C109" s="10" t="s">
        <v>212</v>
      </c>
      <c r="D109" s="72" t="s">
        <v>339</v>
      </c>
      <c r="E109" s="73"/>
      <c r="F109" s="10"/>
      <c r="G109" s="10"/>
      <c r="H109" s="10" t="s">
        <v>608</v>
      </c>
      <c r="I109" s="66">
        <v>35</v>
      </c>
      <c r="J109" s="66">
        <v>38</v>
      </c>
      <c r="K109" s="66">
        <v>40</v>
      </c>
      <c r="L109" s="66">
        <v>50</v>
      </c>
      <c r="M109" s="66">
        <v>88</v>
      </c>
      <c r="N109" s="66">
        <v>147</v>
      </c>
      <c r="O109" s="66">
        <v>177</v>
      </c>
      <c r="P109" s="66">
        <v>206</v>
      </c>
      <c r="Q109" s="66">
        <v>206</v>
      </c>
      <c r="R109" s="66">
        <v>12</v>
      </c>
      <c r="S109" s="66">
        <v>47</v>
      </c>
      <c r="T109" s="50"/>
      <c r="U109" s="50"/>
      <c r="V109" s="50"/>
      <c r="W109" s="50"/>
      <c r="X109" s="50"/>
      <c r="Y109" s="50"/>
      <c r="Z109" s="50"/>
    </row>
    <row r="110" spans="1:26" ht="15.75" customHeight="1">
      <c r="A110" s="10"/>
      <c r="B110" s="10" t="s">
        <v>22</v>
      </c>
      <c r="C110" s="10" t="s">
        <v>214</v>
      </c>
      <c r="D110" s="72" t="s">
        <v>339</v>
      </c>
      <c r="E110" s="73"/>
      <c r="F110" s="10"/>
      <c r="G110" s="10"/>
      <c r="H110" s="10" t="s">
        <v>522</v>
      </c>
      <c r="I110" s="66">
        <v>35</v>
      </c>
      <c r="J110" s="66">
        <v>38</v>
      </c>
      <c r="K110" s="66">
        <v>40</v>
      </c>
      <c r="L110" s="66">
        <v>50</v>
      </c>
      <c r="M110" s="66">
        <v>88</v>
      </c>
      <c r="N110" s="66">
        <v>147</v>
      </c>
      <c r="O110" s="66">
        <v>177</v>
      </c>
      <c r="P110" s="66">
        <v>206</v>
      </c>
      <c r="Q110" s="66">
        <v>206</v>
      </c>
      <c r="R110" s="66">
        <v>12</v>
      </c>
      <c r="S110" s="66">
        <v>47</v>
      </c>
      <c r="T110" s="50"/>
      <c r="U110" s="50"/>
      <c r="V110" s="50"/>
      <c r="W110" s="50"/>
      <c r="X110" s="50"/>
      <c r="Y110" s="50"/>
      <c r="Z110" s="50"/>
    </row>
    <row r="111" spans="1:26" ht="15.75" customHeight="1">
      <c r="A111" s="10"/>
      <c r="B111" s="10" t="s">
        <v>22</v>
      </c>
      <c r="C111" s="10" t="s">
        <v>216</v>
      </c>
      <c r="D111" s="72" t="s">
        <v>339</v>
      </c>
      <c r="E111" s="73"/>
      <c r="F111" s="10"/>
      <c r="G111" s="10"/>
      <c r="H111" s="10" t="s">
        <v>524</v>
      </c>
      <c r="I111" s="66">
        <v>35</v>
      </c>
      <c r="J111" s="66">
        <v>38</v>
      </c>
      <c r="K111" s="66">
        <v>40</v>
      </c>
      <c r="L111" s="66">
        <v>50</v>
      </c>
      <c r="M111" s="66">
        <v>88</v>
      </c>
      <c r="N111" s="66">
        <v>147</v>
      </c>
      <c r="O111" s="66">
        <v>177</v>
      </c>
      <c r="P111" s="66">
        <v>206</v>
      </c>
      <c r="Q111" s="66">
        <v>206</v>
      </c>
      <c r="R111" s="66">
        <v>12</v>
      </c>
      <c r="S111" s="66">
        <v>47</v>
      </c>
      <c r="T111" s="50"/>
      <c r="U111" s="50"/>
      <c r="V111" s="50"/>
      <c r="W111" s="50"/>
      <c r="X111" s="50"/>
      <c r="Y111" s="50"/>
      <c r="Z111" s="50"/>
    </row>
    <row r="112" spans="1:26" ht="15.75" customHeight="1">
      <c r="A112" s="10"/>
      <c r="B112" s="10" t="s">
        <v>22</v>
      </c>
      <c r="C112" s="10" t="s">
        <v>218</v>
      </c>
      <c r="D112" s="72" t="s">
        <v>339</v>
      </c>
      <c r="E112" s="73"/>
      <c r="F112" s="10"/>
      <c r="G112" s="10"/>
      <c r="H112" s="10" t="s">
        <v>525</v>
      </c>
      <c r="I112" s="66">
        <v>35</v>
      </c>
      <c r="J112" s="66">
        <v>38</v>
      </c>
      <c r="K112" s="66">
        <v>40</v>
      </c>
      <c r="L112" s="66">
        <v>50</v>
      </c>
      <c r="M112" s="66">
        <v>88</v>
      </c>
      <c r="N112" s="66">
        <v>147</v>
      </c>
      <c r="O112" s="66">
        <v>177</v>
      </c>
      <c r="P112" s="66">
        <v>206</v>
      </c>
      <c r="Q112" s="66">
        <v>206</v>
      </c>
      <c r="R112" s="66">
        <v>12</v>
      </c>
      <c r="S112" s="66">
        <v>47</v>
      </c>
      <c r="T112" s="50"/>
      <c r="U112" s="50"/>
      <c r="V112" s="50"/>
      <c r="W112" s="50"/>
      <c r="X112" s="50"/>
      <c r="Y112" s="50"/>
      <c r="Z112" s="50"/>
    </row>
    <row r="113" spans="1:26" ht="15.75" customHeight="1">
      <c r="A113" s="10"/>
      <c r="B113" s="10" t="s">
        <v>22</v>
      </c>
      <c r="C113" s="10" t="s">
        <v>220</v>
      </c>
      <c r="D113" s="72" t="s">
        <v>339</v>
      </c>
      <c r="E113" s="73"/>
      <c r="F113" s="10"/>
      <c r="G113" s="10"/>
      <c r="H113" s="10" t="s">
        <v>526</v>
      </c>
      <c r="I113" s="66">
        <v>35</v>
      </c>
      <c r="J113" s="66">
        <v>38</v>
      </c>
      <c r="K113" s="66">
        <v>40</v>
      </c>
      <c r="L113" s="66">
        <v>50</v>
      </c>
      <c r="M113" s="66">
        <v>88</v>
      </c>
      <c r="N113" s="66">
        <v>147</v>
      </c>
      <c r="O113" s="66">
        <v>177</v>
      </c>
      <c r="P113" s="66">
        <v>206</v>
      </c>
      <c r="Q113" s="66">
        <v>206</v>
      </c>
      <c r="R113" s="66">
        <v>12</v>
      </c>
      <c r="S113" s="66">
        <v>47</v>
      </c>
      <c r="T113" s="50"/>
      <c r="U113" s="50"/>
      <c r="V113" s="50"/>
      <c r="W113" s="50"/>
      <c r="X113" s="50"/>
      <c r="Y113" s="50"/>
      <c r="Z113" s="50"/>
    </row>
    <row r="114" spans="1:26" ht="15.75" customHeight="1">
      <c r="A114" s="10"/>
      <c r="B114" s="10" t="s">
        <v>22</v>
      </c>
      <c r="C114" s="10" t="s">
        <v>222</v>
      </c>
      <c r="D114" s="72" t="s">
        <v>339</v>
      </c>
      <c r="E114" s="73"/>
      <c r="F114" s="10"/>
      <c r="G114" s="10"/>
      <c r="H114" s="10" t="s">
        <v>522</v>
      </c>
      <c r="I114" s="66">
        <v>35</v>
      </c>
      <c r="J114" s="66">
        <v>38</v>
      </c>
      <c r="K114" s="66">
        <v>40</v>
      </c>
      <c r="L114" s="66">
        <v>50</v>
      </c>
      <c r="M114" s="66">
        <v>88</v>
      </c>
      <c r="N114" s="66">
        <v>147</v>
      </c>
      <c r="O114" s="66">
        <v>177</v>
      </c>
      <c r="P114" s="66">
        <v>206</v>
      </c>
      <c r="Q114" s="66">
        <v>206</v>
      </c>
      <c r="R114" s="66">
        <v>12</v>
      </c>
      <c r="S114" s="66">
        <v>47</v>
      </c>
      <c r="T114" s="50"/>
      <c r="U114" s="50"/>
      <c r="V114" s="50"/>
      <c r="W114" s="50"/>
      <c r="X114" s="50"/>
      <c r="Y114" s="50"/>
      <c r="Z114" s="50"/>
    </row>
    <row r="115" spans="1:26" ht="15.75" customHeight="1">
      <c r="A115" s="10"/>
      <c r="B115" s="10" t="s">
        <v>22</v>
      </c>
      <c r="C115" s="10" t="s">
        <v>224</v>
      </c>
      <c r="D115" s="72" t="s">
        <v>339</v>
      </c>
      <c r="E115" s="73"/>
      <c r="F115" s="10"/>
      <c r="G115" s="10"/>
      <c r="H115" s="10" t="s">
        <v>609</v>
      </c>
      <c r="I115" s="66">
        <v>41</v>
      </c>
      <c r="J115" s="66">
        <v>47</v>
      </c>
      <c r="K115" s="66">
        <v>47</v>
      </c>
      <c r="L115" s="66">
        <v>59</v>
      </c>
      <c r="M115" s="66">
        <v>124</v>
      </c>
      <c r="N115" s="66">
        <v>147</v>
      </c>
      <c r="O115" s="66">
        <v>177</v>
      </c>
      <c r="P115" s="66">
        <v>206</v>
      </c>
      <c r="Q115" s="66">
        <v>206</v>
      </c>
      <c r="R115" s="66">
        <v>12</v>
      </c>
      <c r="S115" s="66">
        <v>47</v>
      </c>
      <c r="T115" s="50"/>
      <c r="U115" s="50"/>
      <c r="V115" s="50"/>
      <c r="W115" s="50"/>
      <c r="X115" s="50"/>
      <c r="Y115" s="50"/>
      <c r="Z115" s="50"/>
    </row>
    <row r="116" spans="1:26" ht="15.75" customHeight="1">
      <c r="A116" s="10"/>
      <c r="B116" s="10" t="s">
        <v>22</v>
      </c>
      <c r="C116" s="10" t="s">
        <v>226</v>
      </c>
      <c r="D116" s="72" t="s">
        <v>339</v>
      </c>
      <c r="E116" s="73"/>
      <c r="F116" s="10"/>
      <c r="G116" s="10"/>
      <c r="H116" s="10" t="s">
        <v>610</v>
      </c>
      <c r="I116" s="66">
        <v>35</v>
      </c>
      <c r="J116" s="66">
        <v>38</v>
      </c>
      <c r="K116" s="66">
        <v>40</v>
      </c>
      <c r="L116" s="66">
        <v>50</v>
      </c>
      <c r="M116" s="66">
        <v>88</v>
      </c>
      <c r="N116" s="66">
        <v>147</v>
      </c>
      <c r="O116" s="66">
        <v>177</v>
      </c>
      <c r="P116" s="66">
        <v>206</v>
      </c>
      <c r="Q116" s="66">
        <v>206</v>
      </c>
      <c r="R116" s="66">
        <v>12</v>
      </c>
      <c r="S116" s="66">
        <v>47</v>
      </c>
      <c r="T116" s="50"/>
      <c r="U116" s="50"/>
      <c r="V116" s="50"/>
      <c r="W116" s="50"/>
      <c r="X116" s="50"/>
      <c r="Y116" s="50"/>
      <c r="Z116" s="50"/>
    </row>
    <row r="117" spans="1:26" ht="15.75" customHeight="1">
      <c r="A117" s="10"/>
      <c r="B117" s="10" t="s">
        <v>22</v>
      </c>
      <c r="C117" s="10" t="s">
        <v>228</v>
      </c>
      <c r="D117" s="72" t="s">
        <v>339</v>
      </c>
      <c r="E117" s="73"/>
      <c r="F117" s="10"/>
      <c r="G117" s="10"/>
      <c r="H117" s="10" t="s">
        <v>609</v>
      </c>
      <c r="I117" s="66">
        <v>35</v>
      </c>
      <c r="J117" s="66">
        <v>38</v>
      </c>
      <c r="K117" s="66">
        <v>40</v>
      </c>
      <c r="L117" s="66">
        <v>50</v>
      </c>
      <c r="M117" s="66">
        <v>88</v>
      </c>
      <c r="N117" s="66">
        <v>147</v>
      </c>
      <c r="O117" s="66">
        <v>177</v>
      </c>
      <c r="P117" s="66">
        <v>206</v>
      </c>
      <c r="Q117" s="66">
        <v>206</v>
      </c>
      <c r="R117" s="66">
        <v>12</v>
      </c>
      <c r="S117" s="66">
        <v>47</v>
      </c>
      <c r="T117" s="50"/>
      <c r="U117" s="50"/>
      <c r="V117" s="50"/>
      <c r="W117" s="50"/>
      <c r="X117" s="50"/>
      <c r="Y117" s="50"/>
      <c r="Z117" s="50"/>
    </row>
    <row r="118" spans="1:26" ht="15.75" customHeight="1">
      <c r="A118" s="10"/>
      <c r="B118" s="10" t="s">
        <v>22</v>
      </c>
      <c r="C118" s="10" t="s">
        <v>230</v>
      </c>
      <c r="D118" s="72" t="s">
        <v>339</v>
      </c>
      <c r="E118" s="73"/>
      <c r="F118" s="10"/>
      <c r="G118" s="10"/>
      <c r="H118" s="10" t="s">
        <v>611</v>
      </c>
      <c r="I118" s="66">
        <v>35</v>
      </c>
      <c r="J118" s="66">
        <v>38</v>
      </c>
      <c r="K118" s="66">
        <v>40</v>
      </c>
      <c r="L118" s="66">
        <v>50</v>
      </c>
      <c r="M118" s="66">
        <v>88</v>
      </c>
      <c r="N118" s="66">
        <v>147</v>
      </c>
      <c r="O118" s="66">
        <v>177</v>
      </c>
      <c r="P118" s="66">
        <v>206</v>
      </c>
      <c r="Q118" s="66">
        <v>206</v>
      </c>
      <c r="R118" s="66">
        <v>12</v>
      </c>
      <c r="S118" s="66">
        <v>47</v>
      </c>
      <c r="T118" s="50"/>
      <c r="U118" s="50"/>
      <c r="V118" s="50"/>
      <c r="W118" s="50"/>
      <c r="X118" s="50"/>
      <c r="Y118" s="50"/>
      <c r="Z118" s="50"/>
    </row>
    <row r="119" spans="1:26" ht="15.75" customHeight="1">
      <c r="A119" s="10"/>
      <c r="B119" s="10" t="s">
        <v>22</v>
      </c>
      <c r="C119" s="10" t="s">
        <v>232</v>
      </c>
      <c r="D119" s="72" t="s">
        <v>339</v>
      </c>
      <c r="E119" s="73"/>
      <c r="F119" s="10"/>
      <c r="G119" s="10"/>
      <c r="H119" s="10" t="s">
        <v>612</v>
      </c>
      <c r="I119" s="66">
        <v>35</v>
      </c>
      <c r="J119" s="66">
        <v>38</v>
      </c>
      <c r="K119" s="66">
        <v>40</v>
      </c>
      <c r="L119" s="66">
        <v>50</v>
      </c>
      <c r="M119" s="66">
        <v>88</v>
      </c>
      <c r="N119" s="66">
        <v>147</v>
      </c>
      <c r="O119" s="66">
        <v>177</v>
      </c>
      <c r="P119" s="66">
        <v>206</v>
      </c>
      <c r="Q119" s="66">
        <v>206</v>
      </c>
      <c r="R119" s="66">
        <v>12</v>
      </c>
      <c r="S119" s="66">
        <v>47</v>
      </c>
      <c r="T119" s="50"/>
      <c r="U119" s="50"/>
      <c r="V119" s="50"/>
      <c r="W119" s="50"/>
      <c r="X119" s="50"/>
      <c r="Y119" s="50"/>
      <c r="Z119" s="50"/>
    </row>
    <row r="120" spans="1:26" ht="15.75" customHeight="1">
      <c r="A120" s="10"/>
      <c r="B120" s="10" t="s">
        <v>22</v>
      </c>
      <c r="C120" s="10" t="s">
        <v>234</v>
      </c>
      <c r="D120" s="72" t="s">
        <v>339</v>
      </c>
      <c r="E120" s="73"/>
      <c r="F120" s="10"/>
      <c r="G120" s="10"/>
      <c r="H120" s="10" t="s">
        <v>613</v>
      </c>
      <c r="I120" s="66">
        <v>35</v>
      </c>
      <c r="J120" s="66">
        <v>38</v>
      </c>
      <c r="K120" s="66">
        <v>40</v>
      </c>
      <c r="L120" s="66">
        <v>50</v>
      </c>
      <c r="M120" s="66">
        <v>88</v>
      </c>
      <c r="N120" s="66">
        <v>147</v>
      </c>
      <c r="O120" s="66">
        <v>177</v>
      </c>
      <c r="P120" s="66">
        <v>206</v>
      </c>
      <c r="Q120" s="66">
        <v>206</v>
      </c>
      <c r="R120" s="66">
        <v>12</v>
      </c>
      <c r="S120" s="66">
        <v>47</v>
      </c>
      <c r="T120" s="50"/>
      <c r="U120" s="50"/>
      <c r="V120" s="50"/>
      <c r="W120" s="50"/>
      <c r="X120" s="50"/>
      <c r="Y120" s="50"/>
      <c r="Z120" s="50"/>
    </row>
    <row r="121" spans="1:26" ht="15.75" customHeight="1">
      <c r="A121" s="10"/>
      <c r="B121" s="10" t="s">
        <v>22</v>
      </c>
      <c r="C121" s="10" t="s">
        <v>236</v>
      </c>
      <c r="D121" s="72" t="s">
        <v>339</v>
      </c>
      <c r="E121" s="73"/>
      <c r="F121" s="10"/>
      <c r="G121" s="10"/>
      <c r="H121" s="10" t="s">
        <v>612</v>
      </c>
      <c r="I121" s="66">
        <v>35</v>
      </c>
      <c r="J121" s="66">
        <v>38</v>
      </c>
      <c r="K121" s="66">
        <v>40</v>
      </c>
      <c r="L121" s="66">
        <v>50</v>
      </c>
      <c r="M121" s="66">
        <v>88</v>
      </c>
      <c r="N121" s="66">
        <v>147</v>
      </c>
      <c r="O121" s="66">
        <v>177</v>
      </c>
      <c r="P121" s="66">
        <v>206</v>
      </c>
      <c r="Q121" s="66">
        <v>206</v>
      </c>
      <c r="R121" s="66">
        <v>12</v>
      </c>
      <c r="S121" s="66">
        <v>47</v>
      </c>
      <c r="T121" s="50"/>
      <c r="U121" s="50"/>
      <c r="V121" s="50"/>
      <c r="W121" s="50"/>
      <c r="X121" s="50"/>
      <c r="Y121" s="50"/>
      <c r="Z121" s="50"/>
    </row>
    <row r="122" spans="1:26" ht="15.75" customHeight="1">
      <c r="A122" s="10"/>
      <c r="B122" s="10" t="s">
        <v>22</v>
      </c>
      <c r="C122" s="10" t="s">
        <v>238</v>
      </c>
      <c r="D122" s="72" t="s">
        <v>339</v>
      </c>
      <c r="E122" s="73"/>
      <c r="F122" s="10"/>
      <c r="G122" s="10"/>
      <c r="H122" s="10" t="s">
        <v>614</v>
      </c>
      <c r="I122" s="66">
        <v>35</v>
      </c>
      <c r="J122" s="66">
        <v>38</v>
      </c>
      <c r="K122" s="66">
        <v>40</v>
      </c>
      <c r="L122" s="66">
        <v>50</v>
      </c>
      <c r="M122" s="66">
        <v>88</v>
      </c>
      <c r="N122" s="66">
        <v>147</v>
      </c>
      <c r="O122" s="66">
        <v>177</v>
      </c>
      <c r="P122" s="66">
        <v>206</v>
      </c>
      <c r="Q122" s="66">
        <v>206</v>
      </c>
      <c r="R122" s="66">
        <v>12</v>
      </c>
      <c r="S122" s="66">
        <v>47</v>
      </c>
      <c r="T122" s="50"/>
      <c r="U122" s="50"/>
      <c r="V122" s="50"/>
      <c r="W122" s="50"/>
      <c r="X122" s="50"/>
      <c r="Y122" s="50"/>
      <c r="Z122" s="50"/>
    </row>
    <row r="123" spans="1:26" ht="15.75" customHeight="1">
      <c r="A123" s="10"/>
      <c r="B123" s="10" t="s">
        <v>22</v>
      </c>
      <c r="C123" s="10" t="s">
        <v>240</v>
      </c>
      <c r="D123" s="72" t="s">
        <v>339</v>
      </c>
      <c r="E123" s="73"/>
      <c r="F123" s="10"/>
      <c r="G123" s="10"/>
      <c r="H123" s="10" t="s">
        <v>614</v>
      </c>
      <c r="I123" s="66">
        <v>35</v>
      </c>
      <c r="J123" s="66">
        <v>38</v>
      </c>
      <c r="K123" s="66">
        <v>40</v>
      </c>
      <c r="L123" s="66">
        <v>50</v>
      </c>
      <c r="M123" s="66">
        <v>88</v>
      </c>
      <c r="N123" s="66">
        <v>147</v>
      </c>
      <c r="O123" s="66">
        <v>177</v>
      </c>
      <c r="P123" s="66">
        <v>206</v>
      </c>
      <c r="Q123" s="66">
        <v>206</v>
      </c>
      <c r="R123" s="66">
        <v>12</v>
      </c>
      <c r="S123" s="66">
        <v>47</v>
      </c>
      <c r="T123" s="50"/>
      <c r="U123" s="50"/>
      <c r="V123" s="50"/>
      <c r="W123" s="50"/>
      <c r="X123" s="50"/>
      <c r="Y123" s="50"/>
      <c r="Z123" s="50"/>
    </row>
    <row r="124" spans="1:26" ht="15.75" customHeight="1">
      <c r="A124" s="10"/>
      <c r="B124" s="10" t="s">
        <v>22</v>
      </c>
      <c r="C124" s="10" t="s">
        <v>242</v>
      </c>
      <c r="D124" s="72" t="s">
        <v>339</v>
      </c>
      <c r="E124" s="73"/>
      <c r="F124" s="10"/>
      <c r="G124" s="10"/>
      <c r="H124" s="10" t="s">
        <v>615</v>
      </c>
      <c r="I124" s="66">
        <v>35</v>
      </c>
      <c r="J124" s="66">
        <v>38</v>
      </c>
      <c r="K124" s="66">
        <v>40</v>
      </c>
      <c r="L124" s="66">
        <v>50</v>
      </c>
      <c r="M124" s="66">
        <v>88</v>
      </c>
      <c r="N124" s="66">
        <v>147</v>
      </c>
      <c r="O124" s="66">
        <v>177</v>
      </c>
      <c r="P124" s="66">
        <v>206</v>
      </c>
      <c r="Q124" s="66">
        <v>206</v>
      </c>
      <c r="R124" s="66">
        <v>12</v>
      </c>
      <c r="S124" s="66">
        <v>47</v>
      </c>
      <c r="T124" s="50"/>
      <c r="U124" s="50"/>
      <c r="V124" s="50"/>
      <c r="W124" s="50"/>
      <c r="X124" s="50"/>
      <c r="Y124" s="50"/>
      <c r="Z124" s="50"/>
    </row>
    <row r="125" spans="1:26" ht="15.75" customHeight="1">
      <c r="A125" s="10"/>
      <c r="B125" s="10" t="s">
        <v>22</v>
      </c>
      <c r="C125" s="10" t="s">
        <v>244</v>
      </c>
      <c r="D125" s="72" t="s">
        <v>339</v>
      </c>
      <c r="E125" s="73"/>
      <c r="F125" s="10"/>
      <c r="G125" s="10"/>
      <c r="H125" s="10" t="s">
        <v>616</v>
      </c>
      <c r="I125" s="66">
        <v>35</v>
      </c>
      <c r="J125" s="66">
        <v>38</v>
      </c>
      <c r="K125" s="66">
        <v>40</v>
      </c>
      <c r="L125" s="66">
        <v>50</v>
      </c>
      <c r="M125" s="66">
        <v>88</v>
      </c>
      <c r="N125" s="66">
        <v>147</v>
      </c>
      <c r="O125" s="66">
        <v>177</v>
      </c>
      <c r="P125" s="66">
        <v>206</v>
      </c>
      <c r="Q125" s="66">
        <v>206</v>
      </c>
      <c r="R125" s="66">
        <v>12</v>
      </c>
      <c r="S125" s="66">
        <v>47</v>
      </c>
      <c r="T125" s="50"/>
      <c r="U125" s="50"/>
      <c r="V125" s="50"/>
      <c r="W125" s="50"/>
      <c r="X125" s="50"/>
      <c r="Y125" s="50"/>
      <c r="Z125" s="50"/>
    </row>
    <row r="126" spans="1:26" ht="15.75" customHeight="1">
      <c r="A126" s="10"/>
      <c r="B126" s="10" t="s">
        <v>22</v>
      </c>
      <c r="C126" s="10" t="s">
        <v>246</v>
      </c>
      <c r="D126" s="72" t="s">
        <v>339</v>
      </c>
      <c r="E126" s="73"/>
      <c r="F126" s="10"/>
      <c r="G126" s="10"/>
      <c r="H126" s="10" t="s">
        <v>617</v>
      </c>
      <c r="I126" s="66">
        <v>35</v>
      </c>
      <c r="J126" s="66">
        <v>38</v>
      </c>
      <c r="K126" s="66">
        <v>40</v>
      </c>
      <c r="L126" s="66">
        <v>50</v>
      </c>
      <c r="M126" s="66">
        <v>88</v>
      </c>
      <c r="N126" s="66">
        <v>147</v>
      </c>
      <c r="O126" s="66">
        <v>177</v>
      </c>
      <c r="P126" s="66">
        <v>206</v>
      </c>
      <c r="Q126" s="66">
        <v>206</v>
      </c>
      <c r="R126" s="66">
        <v>12</v>
      </c>
      <c r="S126" s="66">
        <v>47</v>
      </c>
      <c r="T126" s="50"/>
      <c r="U126" s="50"/>
      <c r="V126" s="50"/>
      <c r="W126" s="50"/>
      <c r="X126" s="50"/>
      <c r="Y126" s="50"/>
      <c r="Z126" s="50"/>
    </row>
    <row r="127" spans="1:26" ht="15.75" customHeight="1">
      <c r="A127" s="10"/>
      <c r="B127" s="10" t="s">
        <v>22</v>
      </c>
      <c r="C127" s="10" t="s">
        <v>248</v>
      </c>
      <c r="D127" s="72" t="s">
        <v>339</v>
      </c>
      <c r="E127" s="73"/>
      <c r="F127" s="10"/>
      <c r="G127" s="10"/>
      <c r="H127" s="10" t="s">
        <v>460</v>
      </c>
      <c r="I127" s="66">
        <v>35</v>
      </c>
      <c r="J127" s="66">
        <v>38</v>
      </c>
      <c r="K127" s="66">
        <v>40</v>
      </c>
      <c r="L127" s="66">
        <v>50</v>
      </c>
      <c r="M127" s="66">
        <v>88</v>
      </c>
      <c r="N127" s="66">
        <v>147</v>
      </c>
      <c r="O127" s="66">
        <v>177</v>
      </c>
      <c r="P127" s="66">
        <v>206</v>
      </c>
      <c r="Q127" s="66">
        <v>206</v>
      </c>
      <c r="R127" s="66">
        <v>12</v>
      </c>
      <c r="S127" s="66">
        <v>47</v>
      </c>
      <c r="T127" s="50"/>
      <c r="U127" s="50"/>
      <c r="V127" s="50"/>
      <c r="W127" s="50"/>
      <c r="X127" s="50"/>
      <c r="Y127" s="50"/>
      <c r="Z127" s="50"/>
    </row>
    <row r="128" spans="1:26" ht="15.75" customHeight="1">
      <c r="A128" s="10"/>
      <c r="B128" s="10" t="s">
        <v>22</v>
      </c>
      <c r="C128" s="10" t="s">
        <v>250</v>
      </c>
      <c r="D128" s="72" t="s">
        <v>339</v>
      </c>
      <c r="E128" s="73"/>
      <c r="F128" s="10"/>
      <c r="G128" s="10"/>
      <c r="H128" s="10" t="s">
        <v>534</v>
      </c>
      <c r="I128" s="66">
        <v>35</v>
      </c>
      <c r="J128" s="66">
        <v>38</v>
      </c>
      <c r="K128" s="66">
        <v>40</v>
      </c>
      <c r="L128" s="66">
        <v>50</v>
      </c>
      <c r="M128" s="66">
        <v>88</v>
      </c>
      <c r="N128" s="66">
        <v>147</v>
      </c>
      <c r="O128" s="66">
        <v>177</v>
      </c>
      <c r="P128" s="66">
        <v>206</v>
      </c>
      <c r="Q128" s="66">
        <v>206</v>
      </c>
      <c r="R128" s="66">
        <v>12</v>
      </c>
      <c r="S128" s="66">
        <v>47</v>
      </c>
      <c r="T128" s="50"/>
      <c r="U128" s="50"/>
      <c r="V128" s="50"/>
      <c r="W128" s="50"/>
      <c r="X128" s="50"/>
      <c r="Y128" s="50"/>
      <c r="Z128" s="50"/>
    </row>
    <row r="129" spans="1:26" ht="15.75" customHeight="1">
      <c r="A129" s="10"/>
      <c r="B129" s="10" t="s">
        <v>22</v>
      </c>
      <c r="C129" s="10" t="s">
        <v>252</v>
      </c>
      <c r="D129" s="72" t="s">
        <v>339</v>
      </c>
      <c r="E129" s="73"/>
      <c r="F129" s="10"/>
      <c r="G129" s="10"/>
      <c r="H129" s="10" t="s">
        <v>464</v>
      </c>
      <c r="I129" s="66">
        <v>35</v>
      </c>
      <c r="J129" s="66">
        <v>38</v>
      </c>
      <c r="K129" s="66">
        <v>40</v>
      </c>
      <c r="L129" s="66">
        <v>50</v>
      </c>
      <c r="M129" s="66">
        <v>88</v>
      </c>
      <c r="N129" s="66">
        <v>147</v>
      </c>
      <c r="O129" s="66">
        <v>177</v>
      </c>
      <c r="P129" s="66">
        <v>206</v>
      </c>
      <c r="Q129" s="66">
        <v>206</v>
      </c>
      <c r="R129" s="66">
        <v>12</v>
      </c>
      <c r="S129" s="66">
        <v>47</v>
      </c>
      <c r="T129" s="50"/>
      <c r="U129" s="50"/>
      <c r="V129" s="50"/>
      <c r="W129" s="50"/>
      <c r="X129" s="50"/>
      <c r="Y129" s="50"/>
      <c r="Z129" s="50"/>
    </row>
    <row r="130" spans="1:26" ht="15.75" customHeight="1">
      <c r="A130" s="10"/>
      <c r="B130" s="10" t="s">
        <v>22</v>
      </c>
      <c r="C130" s="10" t="s">
        <v>254</v>
      </c>
      <c r="D130" s="72" t="s">
        <v>339</v>
      </c>
      <c r="E130" s="73"/>
      <c r="F130" s="10"/>
      <c r="G130" s="10"/>
      <c r="H130" s="10" t="s">
        <v>535</v>
      </c>
      <c r="I130" s="66">
        <v>35</v>
      </c>
      <c r="J130" s="66">
        <v>38</v>
      </c>
      <c r="K130" s="66">
        <v>40</v>
      </c>
      <c r="L130" s="66">
        <v>50</v>
      </c>
      <c r="M130" s="66">
        <v>88</v>
      </c>
      <c r="N130" s="66">
        <v>147</v>
      </c>
      <c r="O130" s="66">
        <v>177</v>
      </c>
      <c r="P130" s="66">
        <v>206</v>
      </c>
      <c r="Q130" s="66">
        <v>206</v>
      </c>
      <c r="R130" s="66">
        <v>12</v>
      </c>
      <c r="S130" s="66">
        <v>47</v>
      </c>
      <c r="T130" s="50"/>
      <c r="U130" s="50"/>
      <c r="V130" s="50"/>
      <c r="W130" s="50"/>
      <c r="X130" s="50"/>
      <c r="Y130" s="50"/>
      <c r="Z130" s="50"/>
    </row>
    <row r="131" spans="1:26" ht="15.75" customHeight="1">
      <c r="A131" s="10"/>
      <c r="B131" s="10" t="s">
        <v>22</v>
      </c>
      <c r="C131" s="10" t="s">
        <v>256</v>
      </c>
      <c r="D131" s="72" t="s">
        <v>339</v>
      </c>
      <c r="E131" s="73"/>
      <c r="F131" s="10"/>
      <c r="G131" s="10"/>
      <c r="H131" s="10" t="s">
        <v>535</v>
      </c>
      <c r="I131" s="66">
        <v>35</v>
      </c>
      <c r="J131" s="66">
        <v>38</v>
      </c>
      <c r="K131" s="66">
        <v>40</v>
      </c>
      <c r="L131" s="66">
        <v>50</v>
      </c>
      <c r="M131" s="66">
        <v>88</v>
      </c>
      <c r="N131" s="66">
        <v>147</v>
      </c>
      <c r="O131" s="66">
        <v>177</v>
      </c>
      <c r="P131" s="66">
        <v>206</v>
      </c>
      <c r="Q131" s="66">
        <v>206</v>
      </c>
      <c r="R131" s="66">
        <v>12</v>
      </c>
      <c r="S131" s="66">
        <v>47</v>
      </c>
      <c r="T131" s="50"/>
      <c r="U131" s="50"/>
      <c r="V131" s="50"/>
      <c r="W131" s="50"/>
      <c r="X131" s="50"/>
      <c r="Y131" s="50"/>
      <c r="Z131" s="50"/>
    </row>
    <row r="132" spans="1:26" ht="15.75" customHeight="1">
      <c r="A132" s="10"/>
      <c r="B132" s="10" t="s">
        <v>22</v>
      </c>
      <c r="C132" s="10" t="s">
        <v>258</v>
      </c>
      <c r="D132" s="72" t="s">
        <v>339</v>
      </c>
      <c r="E132" s="73"/>
      <c r="F132" s="10"/>
      <c r="G132" s="10"/>
      <c r="H132" s="10" t="s">
        <v>536</v>
      </c>
      <c r="I132" s="66">
        <v>35</v>
      </c>
      <c r="J132" s="66">
        <v>38</v>
      </c>
      <c r="K132" s="66">
        <v>40</v>
      </c>
      <c r="L132" s="66">
        <v>50</v>
      </c>
      <c r="M132" s="66">
        <v>88</v>
      </c>
      <c r="N132" s="66">
        <v>147</v>
      </c>
      <c r="O132" s="66">
        <v>177</v>
      </c>
      <c r="P132" s="66">
        <v>206</v>
      </c>
      <c r="Q132" s="66">
        <v>206</v>
      </c>
      <c r="R132" s="66">
        <v>12</v>
      </c>
      <c r="S132" s="66">
        <v>47</v>
      </c>
      <c r="T132" s="50"/>
      <c r="U132" s="50"/>
      <c r="V132" s="50"/>
      <c r="W132" s="50"/>
      <c r="X132" s="50"/>
      <c r="Y132" s="50"/>
      <c r="Z132" s="50"/>
    </row>
    <row r="133" spans="1:26" ht="15.75" customHeight="1">
      <c r="A133" s="10"/>
      <c r="B133" s="10" t="s">
        <v>22</v>
      </c>
      <c r="C133" s="10" t="s">
        <v>260</v>
      </c>
      <c r="D133" s="72" t="s">
        <v>339</v>
      </c>
      <c r="E133" s="73"/>
      <c r="F133" s="10"/>
      <c r="G133" s="10"/>
      <c r="H133" s="10" t="s">
        <v>464</v>
      </c>
      <c r="I133" s="66">
        <v>41</v>
      </c>
      <c r="J133" s="66">
        <v>47</v>
      </c>
      <c r="K133" s="66">
        <v>47</v>
      </c>
      <c r="L133" s="66">
        <v>59</v>
      </c>
      <c r="M133" s="66">
        <v>88</v>
      </c>
      <c r="N133" s="66">
        <v>147</v>
      </c>
      <c r="O133" s="66">
        <v>177</v>
      </c>
      <c r="P133" s="66">
        <v>206</v>
      </c>
      <c r="Q133" s="66">
        <v>206</v>
      </c>
      <c r="R133" s="66">
        <v>12</v>
      </c>
      <c r="S133" s="66">
        <v>47</v>
      </c>
      <c r="T133" s="50"/>
      <c r="U133" s="50"/>
      <c r="V133" s="50"/>
      <c r="W133" s="50"/>
      <c r="X133" s="50"/>
      <c r="Y133" s="50"/>
      <c r="Z133" s="50"/>
    </row>
    <row r="134" spans="1:26" ht="15.75" customHeight="1">
      <c r="A134" s="10"/>
      <c r="B134" s="10" t="s">
        <v>22</v>
      </c>
      <c r="C134" s="10" t="s">
        <v>262</v>
      </c>
      <c r="D134" s="72" t="s">
        <v>339</v>
      </c>
      <c r="E134" s="73"/>
      <c r="F134" s="10"/>
      <c r="G134" s="10"/>
      <c r="H134" s="10" t="s">
        <v>464</v>
      </c>
      <c r="I134" s="66">
        <v>35</v>
      </c>
      <c r="J134" s="66">
        <v>38</v>
      </c>
      <c r="K134" s="66">
        <v>40</v>
      </c>
      <c r="L134" s="66">
        <v>50</v>
      </c>
      <c r="M134" s="66">
        <v>88</v>
      </c>
      <c r="N134" s="66">
        <v>147</v>
      </c>
      <c r="O134" s="66">
        <v>177</v>
      </c>
      <c r="P134" s="66">
        <v>206</v>
      </c>
      <c r="Q134" s="66">
        <v>206</v>
      </c>
      <c r="R134" s="66">
        <v>12</v>
      </c>
      <c r="S134" s="66">
        <v>47</v>
      </c>
      <c r="T134" s="50"/>
      <c r="U134" s="50"/>
      <c r="V134" s="50"/>
      <c r="W134" s="50"/>
      <c r="X134" s="50"/>
      <c r="Y134" s="50"/>
      <c r="Z134" s="50"/>
    </row>
    <row r="135" spans="1:26" ht="15.75" customHeight="1">
      <c r="A135" s="10"/>
      <c r="B135" s="10" t="s">
        <v>22</v>
      </c>
      <c r="C135" s="10" t="s">
        <v>264</v>
      </c>
      <c r="D135" s="72" t="s">
        <v>339</v>
      </c>
      <c r="E135" s="73"/>
      <c r="F135" s="10"/>
      <c r="G135" s="10"/>
      <c r="H135" s="10"/>
      <c r="I135" s="66">
        <v>41</v>
      </c>
      <c r="J135" s="66">
        <v>47</v>
      </c>
      <c r="K135" s="66">
        <v>47</v>
      </c>
      <c r="L135" s="66">
        <v>59</v>
      </c>
      <c r="M135" s="66">
        <v>124</v>
      </c>
      <c r="N135" s="66">
        <v>147</v>
      </c>
      <c r="O135" s="66">
        <v>177</v>
      </c>
      <c r="P135" s="66">
        <v>206</v>
      </c>
      <c r="Q135" s="66">
        <v>206</v>
      </c>
      <c r="R135" s="66">
        <v>12</v>
      </c>
      <c r="S135" s="66">
        <v>47</v>
      </c>
      <c r="T135" s="50"/>
      <c r="U135" s="50"/>
      <c r="V135" s="50"/>
      <c r="W135" s="50"/>
      <c r="X135" s="50"/>
      <c r="Y135" s="50"/>
      <c r="Z135" s="50"/>
    </row>
    <row r="136" spans="1:26" ht="15.75" customHeight="1">
      <c r="A136" s="10"/>
      <c r="B136" s="10" t="s">
        <v>22</v>
      </c>
      <c r="C136" s="10" t="s">
        <v>266</v>
      </c>
      <c r="D136" s="72" t="s">
        <v>339</v>
      </c>
      <c r="E136" s="73"/>
      <c r="F136" s="10"/>
      <c r="G136" s="10"/>
      <c r="H136" s="10" t="s">
        <v>536</v>
      </c>
      <c r="I136" s="66">
        <v>41</v>
      </c>
      <c r="J136" s="66">
        <v>47</v>
      </c>
      <c r="K136" s="66">
        <v>47</v>
      </c>
      <c r="L136" s="66">
        <v>59</v>
      </c>
      <c r="M136" s="66">
        <v>124</v>
      </c>
      <c r="N136" s="66">
        <v>147</v>
      </c>
      <c r="O136" s="66">
        <v>177</v>
      </c>
      <c r="P136" s="66">
        <v>206</v>
      </c>
      <c r="Q136" s="66">
        <v>206</v>
      </c>
      <c r="R136" s="66">
        <v>12</v>
      </c>
      <c r="S136" s="66">
        <v>47</v>
      </c>
      <c r="T136" s="50"/>
      <c r="U136" s="50"/>
      <c r="V136" s="50"/>
      <c r="W136" s="50"/>
      <c r="X136" s="50"/>
      <c r="Y136" s="50"/>
      <c r="Z136" s="50"/>
    </row>
    <row r="137" spans="1:26" ht="15.75" customHeight="1">
      <c r="A137" s="10"/>
      <c r="B137" s="10" t="s">
        <v>22</v>
      </c>
      <c r="C137" s="10" t="s">
        <v>268</v>
      </c>
      <c r="D137" s="72" t="s">
        <v>339</v>
      </c>
      <c r="E137" s="73"/>
      <c r="F137" s="10"/>
      <c r="G137" s="10"/>
      <c r="H137" s="10" t="s">
        <v>536</v>
      </c>
      <c r="I137" s="66">
        <v>35</v>
      </c>
      <c r="J137" s="66">
        <v>38</v>
      </c>
      <c r="K137" s="66">
        <v>40</v>
      </c>
      <c r="L137" s="66">
        <v>50</v>
      </c>
      <c r="M137" s="66">
        <v>88</v>
      </c>
      <c r="N137" s="66">
        <v>147</v>
      </c>
      <c r="O137" s="66">
        <v>177</v>
      </c>
      <c r="P137" s="66">
        <v>206</v>
      </c>
      <c r="Q137" s="66">
        <v>206</v>
      </c>
      <c r="R137" s="66">
        <v>12</v>
      </c>
      <c r="S137" s="66">
        <v>47</v>
      </c>
      <c r="T137" s="50"/>
      <c r="U137" s="50"/>
      <c r="V137" s="50"/>
      <c r="W137" s="50"/>
      <c r="X137" s="50"/>
      <c r="Y137" s="50"/>
      <c r="Z137" s="50"/>
    </row>
    <row r="138" spans="1:26" ht="15.75" customHeight="1">
      <c r="A138" s="10"/>
      <c r="B138" s="10" t="s">
        <v>22</v>
      </c>
      <c r="C138" s="10" t="s">
        <v>270</v>
      </c>
      <c r="D138" s="72" t="s">
        <v>339</v>
      </c>
      <c r="E138" s="73"/>
      <c r="F138" s="10"/>
      <c r="G138" s="10"/>
      <c r="H138" s="10"/>
      <c r="I138" s="66">
        <v>41</v>
      </c>
      <c r="J138" s="66">
        <v>47</v>
      </c>
      <c r="K138" s="66">
        <v>47</v>
      </c>
      <c r="L138" s="66">
        <v>59</v>
      </c>
      <c r="M138" s="66">
        <v>124</v>
      </c>
      <c r="N138" s="66">
        <v>147</v>
      </c>
      <c r="O138" s="66">
        <v>177</v>
      </c>
      <c r="P138" s="66">
        <v>206</v>
      </c>
      <c r="Q138" s="66">
        <v>206</v>
      </c>
      <c r="R138" s="66">
        <v>12</v>
      </c>
      <c r="S138" s="66">
        <v>47</v>
      </c>
      <c r="T138" s="50"/>
      <c r="U138" s="50"/>
      <c r="V138" s="50"/>
      <c r="W138" s="50"/>
      <c r="X138" s="50"/>
      <c r="Y138" s="50"/>
      <c r="Z138" s="50"/>
    </row>
    <row r="139" spans="1:26" ht="15.75" customHeight="1">
      <c r="A139" s="10"/>
      <c r="B139" s="10" t="s">
        <v>22</v>
      </c>
      <c r="C139" s="10" t="s">
        <v>272</v>
      </c>
      <c r="D139" s="72" t="s">
        <v>339</v>
      </c>
      <c r="E139" s="73"/>
      <c r="F139" s="10"/>
      <c r="G139" s="10"/>
      <c r="H139" s="10"/>
      <c r="I139" s="66">
        <v>35</v>
      </c>
      <c r="J139" s="66">
        <v>38</v>
      </c>
      <c r="K139" s="66">
        <v>40</v>
      </c>
      <c r="L139" s="66">
        <v>50</v>
      </c>
      <c r="M139" s="66">
        <v>88</v>
      </c>
      <c r="N139" s="66">
        <v>147</v>
      </c>
      <c r="O139" s="66">
        <v>177</v>
      </c>
      <c r="P139" s="66">
        <v>206</v>
      </c>
      <c r="Q139" s="66">
        <v>206</v>
      </c>
      <c r="R139" s="66">
        <v>12</v>
      </c>
      <c r="S139" s="66">
        <v>47</v>
      </c>
      <c r="T139" s="50"/>
      <c r="U139" s="50"/>
      <c r="V139" s="50"/>
      <c r="W139" s="50"/>
      <c r="X139" s="50"/>
      <c r="Y139" s="50"/>
      <c r="Z139" s="50"/>
    </row>
    <row r="140" spans="1:26" ht="15.75" customHeight="1">
      <c r="A140" s="10"/>
      <c r="B140" s="10" t="s">
        <v>21</v>
      </c>
      <c r="C140" s="10" t="s">
        <v>274</v>
      </c>
      <c r="D140" s="72" t="s">
        <v>339</v>
      </c>
      <c r="E140" s="73"/>
      <c r="F140" s="10"/>
      <c r="G140" s="10"/>
      <c r="H140" s="10" t="s">
        <v>522</v>
      </c>
      <c r="I140" s="66">
        <v>30</v>
      </c>
      <c r="J140" s="66">
        <v>30</v>
      </c>
      <c r="K140" s="66">
        <v>36</v>
      </c>
      <c r="L140" s="66">
        <v>48</v>
      </c>
      <c r="M140" s="66">
        <v>124</v>
      </c>
      <c r="N140" s="66">
        <v>147</v>
      </c>
      <c r="O140" s="66">
        <v>177</v>
      </c>
      <c r="P140" s="66">
        <v>206</v>
      </c>
      <c r="Q140" s="66">
        <v>206</v>
      </c>
      <c r="R140" s="66">
        <v>12</v>
      </c>
      <c r="S140" s="66">
        <v>47</v>
      </c>
      <c r="T140" s="50"/>
      <c r="U140" s="50"/>
      <c r="V140" s="50"/>
      <c r="W140" s="50"/>
      <c r="X140" s="50"/>
      <c r="Y140" s="50"/>
      <c r="Z140" s="50"/>
    </row>
    <row r="141" spans="1:26" ht="15.75" customHeight="1">
      <c r="A141" s="10"/>
      <c r="B141" s="10" t="s">
        <v>21</v>
      </c>
      <c r="C141" s="10" t="s">
        <v>276</v>
      </c>
      <c r="D141" s="72" t="s">
        <v>339</v>
      </c>
      <c r="E141" s="73"/>
      <c r="F141" s="10"/>
      <c r="G141" s="10"/>
      <c r="H141" s="10" t="s">
        <v>537</v>
      </c>
      <c r="I141" s="66">
        <v>30</v>
      </c>
      <c r="J141" s="66">
        <v>30</v>
      </c>
      <c r="K141" s="66">
        <v>36</v>
      </c>
      <c r="L141" s="66">
        <v>48</v>
      </c>
      <c r="M141" s="66">
        <v>124</v>
      </c>
      <c r="N141" s="66">
        <v>147</v>
      </c>
      <c r="O141" s="66">
        <v>177</v>
      </c>
      <c r="P141" s="66">
        <v>206</v>
      </c>
      <c r="Q141" s="66">
        <v>206</v>
      </c>
      <c r="R141" s="66">
        <v>12</v>
      </c>
      <c r="S141" s="66">
        <v>47</v>
      </c>
      <c r="T141" s="50"/>
      <c r="U141" s="50"/>
      <c r="V141" s="50"/>
      <c r="W141" s="50"/>
      <c r="X141" s="50"/>
      <c r="Y141" s="50"/>
      <c r="Z141" s="50"/>
    </row>
    <row r="142" spans="1:26" ht="15.75" customHeight="1">
      <c r="A142" s="10"/>
      <c r="B142" s="10" t="s">
        <v>22</v>
      </c>
      <c r="C142" s="10" t="s">
        <v>278</v>
      </c>
      <c r="D142" s="72" t="s">
        <v>339</v>
      </c>
      <c r="E142" s="73"/>
      <c r="F142" s="10"/>
      <c r="G142" s="10"/>
      <c r="H142" s="10" t="s">
        <v>538</v>
      </c>
      <c r="I142" s="66">
        <v>12</v>
      </c>
      <c r="J142" s="66">
        <v>18</v>
      </c>
      <c r="K142" s="66">
        <v>12</v>
      </c>
      <c r="L142" s="66">
        <v>24</v>
      </c>
      <c r="M142" s="66">
        <v>35</v>
      </c>
      <c r="N142" s="66">
        <v>47</v>
      </c>
      <c r="O142" s="66">
        <v>59</v>
      </c>
      <c r="P142" s="66">
        <v>74</v>
      </c>
      <c r="Q142" s="66">
        <v>74</v>
      </c>
      <c r="R142" s="66">
        <v>12</v>
      </c>
      <c r="S142" s="66">
        <v>24</v>
      </c>
      <c r="T142" s="50"/>
      <c r="U142" s="50"/>
      <c r="V142" s="50"/>
      <c r="W142" s="50"/>
      <c r="X142" s="50"/>
      <c r="Y142" s="50"/>
      <c r="Z142" s="50"/>
    </row>
    <row r="143" spans="1:26" ht="15.75" customHeight="1">
      <c r="A143" s="4"/>
      <c r="B143" s="10" t="s">
        <v>22</v>
      </c>
      <c r="C143" s="10" t="s">
        <v>280</v>
      </c>
      <c r="D143" s="72" t="s">
        <v>339</v>
      </c>
      <c r="E143" s="73"/>
      <c r="F143" s="10"/>
      <c r="G143" s="10"/>
      <c r="H143" s="10" t="s">
        <v>539</v>
      </c>
      <c r="I143" s="66">
        <v>12</v>
      </c>
      <c r="J143" s="66">
        <v>18</v>
      </c>
      <c r="K143" s="66">
        <v>12</v>
      </c>
      <c r="L143" s="66">
        <v>24</v>
      </c>
      <c r="M143" s="66">
        <v>35</v>
      </c>
      <c r="N143" s="66">
        <v>47</v>
      </c>
      <c r="O143" s="66">
        <v>59</v>
      </c>
      <c r="P143" s="66">
        <v>74</v>
      </c>
      <c r="Q143" s="66">
        <v>74</v>
      </c>
      <c r="R143" s="66">
        <v>12</v>
      </c>
      <c r="S143" s="66">
        <v>24</v>
      </c>
      <c r="T143" s="50"/>
      <c r="U143" s="50"/>
      <c r="V143" s="50"/>
      <c r="W143" s="50"/>
      <c r="X143" s="50"/>
      <c r="Y143" s="50"/>
      <c r="Z143" s="50"/>
    </row>
    <row r="144" spans="1:26" ht="15.75" customHeight="1">
      <c r="A144" s="4"/>
      <c r="B144" s="10" t="s">
        <v>282</v>
      </c>
      <c r="C144" s="10" t="s">
        <v>283</v>
      </c>
      <c r="D144" s="72" t="s">
        <v>339</v>
      </c>
      <c r="E144" s="73"/>
      <c r="F144" s="10"/>
      <c r="G144" s="10"/>
      <c r="H144" s="10" t="s">
        <v>542</v>
      </c>
      <c r="I144" s="66">
        <v>1</v>
      </c>
      <c r="J144" s="66">
        <v>1</v>
      </c>
      <c r="K144" s="66">
        <v>1</v>
      </c>
      <c r="L144" s="66">
        <v>1</v>
      </c>
      <c r="M144" s="66">
        <v>1</v>
      </c>
      <c r="N144" s="66">
        <v>1</v>
      </c>
      <c r="O144" s="66">
        <v>1</v>
      </c>
      <c r="P144" s="66">
        <v>1</v>
      </c>
      <c r="Q144" s="66">
        <v>1</v>
      </c>
      <c r="R144" s="66">
        <v>1</v>
      </c>
      <c r="S144" s="66">
        <v>1</v>
      </c>
      <c r="T144" s="50"/>
      <c r="U144" s="50"/>
      <c r="V144" s="50"/>
      <c r="W144" s="50"/>
      <c r="X144" s="50"/>
      <c r="Y144" s="50"/>
      <c r="Z144" s="50"/>
    </row>
    <row r="145" spans="1:26" ht="15.75" customHeight="1">
      <c r="A145" s="4"/>
      <c r="B145" s="10" t="s">
        <v>22</v>
      </c>
      <c r="C145" s="10" t="s">
        <v>285</v>
      </c>
      <c r="D145" s="10" t="s">
        <v>36</v>
      </c>
      <c r="E145" s="10"/>
      <c r="F145" s="10"/>
      <c r="G145" s="10"/>
      <c r="H145" s="10" t="s">
        <v>540</v>
      </c>
      <c r="I145" s="66">
        <v>20</v>
      </c>
      <c r="J145" s="66">
        <v>30</v>
      </c>
      <c r="K145" s="66">
        <v>30</v>
      </c>
      <c r="L145" s="66">
        <v>30</v>
      </c>
      <c r="M145" s="66">
        <v>60</v>
      </c>
      <c r="N145" s="66">
        <v>89</v>
      </c>
      <c r="O145" s="66">
        <v>178</v>
      </c>
      <c r="P145" s="66">
        <v>237</v>
      </c>
      <c r="Q145" s="66">
        <v>237</v>
      </c>
      <c r="R145" s="66">
        <v>30</v>
      </c>
      <c r="S145" s="66">
        <v>65</v>
      </c>
      <c r="T145" s="50"/>
      <c r="U145" s="50"/>
      <c r="V145" s="50"/>
      <c r="W145" s="50"/>
      <c r="X145" s="50"/>
      <c r="Y145" s="50"/>
      <c r="Z145" s="50"/>
    </row>
    <row r="146" spans="1:26" ht="15.75" customHeight="1">
      <c r="A146" s="4"/>
      <c r="B146" s="10" t="s">
        <v>22</v>
      </c>
      <c r="C146" s="10" t="s">
        <v>288</v>
      </c>
      <c r="D146" s="72" t="s">
        <v>339</v>
      </c>
      <c r="E146" s="73"/>
      <c r="F146" s="10"/>
      <c r="G146" s="10"/>
      <c r="H146" s="10" t="s">
        <v>541</v>
      </c>
      <c r="I146" s="66">
        <v>35</v>
      </c>
      <c r="J146" s="66">
        <v>38</v>
      </c>
      <c r="K146" s="66">
        <v>40</v>
      </c>
      <c r="L146" s="66">
        <v>50</v>
      </c>
      <c r="M146" s="66">
        <v>88</v>
      </c>
      <c r="N146" s="66">
        <v>147</v>
      </c>
      <c r="O146" s="66">
        <v>177</v>
      </c>
      <c r="P146" s="66">
        <v>206</v>
      </c>
      <c r="Q146" s="66">
        <v>206</v>
      </c>
      <c r="R146" s="66">
        <v>12</v>
      </c>
      <c r="S146" s="66">
        <v>47</v>
      </c>
      <c r="T146" s="50"/>
      <c r="U146" s="50"/>
      <c r="V146" s="50"/>
      <c r="W146" s="50"/>
      <c r="X146" s="50"/>
      <c r="Y146" s="50"/>
      <c r="Z146" s="50"/>
    </row>
    <row r="147" spans="1:26" ht="15.75" customHeight="1">
      <c r="A147" s="4"/>
      <c r="B147" s="10" t="s">
        <v>22</v>
      </c>
      <c r="C147" s="10" t="s">
        <v>543</v>
      </c>
      <c r="D147" s="72" t="s">
        <v>339</v>
      </c>
      <c r="E147" s="73"/>
      <c r="F147" s="10"/>
      <c r="G147" s="10"/>
      <c r="H147" s="10" t="s">
        <v>618</v>
      </c>
      <c r="I147" s="66">
        <v>35</v>
      </c>
      <c r="J147" s="66">
        <v>38</v>
      </c>
      <c r="K147" s="66">
        <v>40</v>
      </c>
      <c r="L147" s="66">
        <v>50</v>
      </c>
      <c r="M147" s="66">
        <v>88</v>
      </c>
      <c r="N147" s="66">
        <v>147</v>
      </c>
      <c r="O147" s="66">
        <v>177</v>
      </c>
      <c r="P147" s="66">
        <v>206</v>
      </c>
      <c r="Q147" s="66">
        <v>206</v>
      </c>
      <c r="R147" s="66">
        <v>12</v>
      </c>
      <c r="S147" s="66">
        <v>47</v>
      </c>
      <c r="T147" s="50"/>
      <c r="U147" s="50"/>
      <c r="V147" s="50"/>
      <c r="W147" s="50"/>
      <c r="X147" s="50"/>
      <c r="Y147" s="50"/>
      <c r="Z147" s="50"/>
    </row>
    <row r="148" spans="1:26" ht="15.75" customHeight="1">
      <c r="A148" s="4"/>
      <c r="B148" s="10" t="s">
        <v>22</v>
      </c>
      <c r="C148" s="10" t="s">
        <v>545</v>
      </c>
      <c r="D148" s="72" t="s">
        <v>339</v>
      </c>
      <c r="E148" s="73"/>
      <c r="F148" s="10"/>
      <c r="G148" s="10"/>
      <c r="H148" s="10" t="s">
        <v>619</v>
      </c>
      <c r="I148" s="66">
        <v>35</v>
      </c>
      <c r="J148" s="66">
        <v>38</v>
      </c>
      <c r="K148" s="66">
        <v>40</v>
      </c>
      <c r="L148" s="66">
        <v>50</v>
      </c>
      <c r="M148" s="66">
        <v>88</v>
      </c>
      <c r="N148" s="66">
        <v>147</v>
      </c>
      <c r="O148" s="66">
        <v>177</v>
      </c>
      <c r="P148" s="66">
        <v>206</v>
      </c>
      <c r="Q148" s="66">
        <v>206</v>
      </c>
      <c r="R148" s="66">
        <v>12</v>
      </c>
      <c r="S148" s="66">
        <v>47</v>
      </c>
      <c r="T148" s="50"/>
      <c r="U148" s="50"/>
      <c r="V148" s="50"/>
      <c r="W148" s="50"/>
      <c r="X148" s="50"/>
      <c r="Y148" s="50"/>
      <c r="Z148" s="50"/>
    </row>
    <row r="149" spans="1:26" ht="15.75" customHeight="1">
      <c r="A149" s="4"/>
      <c r="B149" s="10" t="s">
        <v>22</v>
      </c>
      <c r="C149" s="10" t="s">
        <v>620</v>
      </c>
      <c r="D149" s="72" t="s">
        <v>339</v>
      </c>
      <c r="E149" s="73"/>
      <c r="F149" s="10"/>
      <c r="G149" s="10"/>
      <c r="H149" s="10" t="s">
        <v>621</v>
      </c>
      <c r="I149" s="66">
        <v>60</v>
      </c>
      <c r="J149" s="66">
        <v>60</v>
      </c>
      <c r="K149" s="66">
        <v>71</v>
      </c>
      <c r="L149" s="66">
        <v>71</v>
      </c>
      <c r="M149" s="66">
        <v>147</v>
      </c>
      <c r="N149" s="66">
        <v>147</v>
      </c>
      <c r="O149" s="66">
        <v>0</v>
      </c>
      <c r="P149" s="66">
        <v>0</v>
      </c>
      <c r="Q149" s="66">
        <v>0</v>
      </c>
      <c r="R149" s="66">
        <v>0</v>
      </c>
      <c r="S149" s="66">
        <v>0</v>
      </c>
      <c r="T149" s="50"/>
      <c r="U149" s="50"/>
      <c r="V149" s="50"/>
      <c r="W149" s="50"/>
      <c r="X149" s="50"/>
      <c r="Y149" s="50"/>
      <c r="Z149" s="50"/>
    </row>
    <row r="150" spans="1:26" ht="15.75" customHeight="1">
      <c r="A150" s="4"/>
      <c r="B150" s="5"/>
      <c r="C150" s="5"/>
      <c r="D150" s="6"/>
      <c r="E150" s="7"/>
      <c r="F150" s="7"/>
      <c r="G150" s="7"/>
      <c r="H150" s="4"/>
      <c r="I150" s="51"/>
      <c r="J150" s="51"/>
      <c r="K150" s="51"/>
      <c r="L150" s="51"/>
      <c r="M150" s="51"/>
      <c r="N150" s="51"/>
      <c r="O150" s="51"/>
      <c r="P150" s="51"/>
      <c r="Q150" s="51"/>
      <c r="R150" s="51"/>
      <c r="S150" s="51"/>
      <c r="T150" s="50"/>
      <c r="U150" s="50"/>
      <c r="V150" s="50"/>
      <c r="W150" s="50"/>
      <c r="X150" s="50"/>
      <c r="Y150" s="50"/>
      <c r="Z150" s="50"/>
    </row>
    <row r="151" spans="1:26" ht="15.75" customHeight="1">
      <c r="A151" s="4"/>
      <c r="B151" s="5"/>
      <c r="C151" s="5"/>
      <c r="D151" s="6"/>
      <c r="E151" s="7"/>
      <c r="F151" s="7"/>
      <c r="G151" s="7"/>
      <c r="H151" s="4"/>
      <c r="I151" s="51"/>
      <c r="J151" s="51"/>
      <c r="K151" s="51"/>
      <c r="L151" s="51"/>
      <c r="M151" s="51"/>
      <c r="N151" s="51"/>
      <c r="O151" s="51"/>
      <c r="P151" s="51"/>
      <c r="Q151" s="51"/>
      <c r="R151" s="51"/>
      <c r="S151" s="51"/>
      <c r="T151" s="50"/>
      <c r="U151" s="50"/>
      <c r="V151" s="50"/>
      <c r="W151" s="50"/>
      <c r="X151" s="50"/>
      <c r="Y151" s="50"/>
      <c r="Z151" s="50"/>
    </row>
    <row r="152" spans="1:26" ht="15.75" customHeight="1">
      <c r="A152" s="4"/>
      <c r="B152" s="5"/>
      <c r="C152" s="5"/>
      <c r="D152" s="6"/>
      <c r="E152" s="7"/>
      <c r="F152" s="7"/>
      <c r="G152" s="7"/>
      <c r="H152" s="4"/>
      <c r="I152" s="51"/>
      <c r="J152" s="51"/>
      <c r="K152" s="51"/>
      <c r="L152" s="51"/>
      <c r="M152" s="51"/>
      <c r="N152" s="51"/>
      <c r="O152" s="51"/>
      <c r="P152" s="51"/>
      <c r="Q152" s="51"/>
      <c r="R152" s="51"/>
      <c r="S152" s="51"/>
      <c r="T152" s="50"/>
      <c r="U152" s="50"/>
      <c r="V152" s="50"/>
      <c r="W152" s="50"/>
      <c r="X152" s="50"/>
      <c r="Y152" s="50"/>
      <c r="Z152" s="50"/>
    </row>
    <row r="153" spans="1:26" ht="15.75" customHeight="1">
      <c r="A153" s="4"/>
      <c r="B153" s="5"/>
      <c r="C153" s="5"/>
      <c r="D153" s="6"/>
      <c r="E153" s="7"/>
      <c r="F153" s="7"/>
      <c r="G153" s="7"/>
      <c r="H153" s="4"/>
      <c r="I153" s="51"/>
      <c r="J153" s="51"/>
      <c r="K153" s="51"/>
      <c r="L153" s="51"/>
      <c r="M153" s="51"/>
      <c r="N153" s="51"/>
      <c r="O153" s="51"/>
      <c r="P153" s="51"/>
      <c r="Q153" s="51"/>
      <c r="R153" s="51"/>
      <c r="S153" s="51"/>
      <c r="T153" s="50"/>
      <c r="U153" s="50"/>
      <c r="V153" s="50"/>
      <c r="W153" s="50"/>
      <c r="X153" s="50"/>
      <c r="Y153" s="50"/>
      <c r="Z153" s="50"/>
    </row>
    <row r="154" spans="1:26" ht="15.75" customHeight="1">
      <c r="A154" s="4"/>
      <c r="B154" s="5"/>
      <c r="C154" s="5"/>
      <c r="D154" s="6"/>
      <c r="E154" s="7"/>
      <c r="F154" s="7"/>
      <c r="G154" s="7"/>
      <c r="H154" s="4"/>
      <c r="I154" s="51"/>
      <c r="J154" s="51"/>
      <c r="K154" s="51"/>
      <c r="L154" s="51"/>
      <c r="M154" s="51"/>
      <c r="N154" s="51"/>
      <c r="O154" s="51"/>
      <c r="P154" s="51"/>
      <c r="Q154" s="51"/>
      <c r="R154" s="51"/>
      <c r="S154" s="51"/>
      <c r="T154" s="50"/>
      <c r="U154" s="50"/>
      <c r="V154" s="50"/>
      <c r="W154" s="50"/>
      <c r="X154" s="50"/>
      <c r="Y154" s="50"/>
      <c r="Z154" s="50"/>
    </row>
    <row r="155" spans="1:26" ht="15.75" customHeight="1">
      <c r="A155" s="4"/>
      <c r="B155" s="5"/>
      <c r="C155" s="5"/>
      <c r="D155" s="6"/>
      <c r="E155" s="7"/>
      <c r="F155" s="7"/>
      <c r="G155" s="7"/>
      <c r="H155" s="4"/>
      <c r="I155" s="51"/>
      <c r="J155" s="51"/>
      <c r="K155" s="51"/>
      <c r="L155" s="51"/>
      <c r="M155" s="51"/>
      <c r="N155" s="51"/>
      <c r="O155" s="51"/>
      <c r="P155" s="51"/>
      <c r="Q155" s="51"/>
      <c r="R155" s="51"/>
      <c r="S155" s="51"/>
      <c r="T155" s="50"/>
      <c r="U155" s="50"/>
      <c r="V155" s="50"/>
      <c r="W155" s="50"/>
      <c r="X155" s="50"/>
      <c r="Y155" s="50"/>
      <c r="Z155" s="50"/>
    </row>
    <row r="156" spans="1:26" ht="15.75" customHeight="1">
      <c r="A156" s="4"/>
      <c r="B156" s="5"/>
      <c r="C156" s="5"/>
      <c r="D156" s="6"/>
      <c r="E156" s="7"/>
      <c r="F156" s="7"/>
      <c r="G156" s="7"/>
      <c r="H156" s="4"/>
      <c r="I156" s="51"/>
      <c r="J156" s="51"/>
      <c r="K156" s="51"/>
      <c r="L156" s="51"/>
      <c r="M156" s="51"/>
      <c r="N156" s="51"/>
      <c r="O156" s="51"/>
      <c r="P156" s="51"/>
      <c r="Q156" s="51"/>
      <c r="R156" s="51"/>
      <c r="S156" s="51"/>
      <c r="T156" s="50"/>
      <c r="U156" s="50"/>
      <c r="V156" s="50"/>
      <c r="W156" s="50"/>
      <c r="X156" s="50"/>
      <c r="Y156" s="50"/>
      <c r="Z156" s="50"/>
    </row>
    <row r="157" spans="1:26" ht="15.75" customHeight="1">
      <c r="A157" s="4"/>
      <c r="B157" s="5"/>
      <c r="C157" s="5"/>
      <c r="D157" s="6"/>
      <c r="E157" s="7"/>
      <c r="F157" s="7"/>
      <c r="G157" s="7"/>
      <c r="H157" s="4"/>
      <c r="I157" s="51"/>
      <c r="J157" s="51"/>
      <c r="K157" s="51"/>
      <c r="L157" s="51"/>
      <c r="M157" s="51"/>
      <c r="N157" s="51"/>
      <c r="O157" s="51"/>
      <c r="P157" s="51"/>
      <c r="Q157" s="51"/>
      <c r="R157" s="51"/>
      <c r="S157" s="51"/>
      <c r="T157" s="50"/>
      <c r="U157" s="50"/>
      <c r="V157" s="50"/>
      <c r="W157" s="50"/>
      <c r="X157" s="50"/>
      <c r="Y157" s="50"/>
      <c r="Z157" s="50"/>
    </row>
    <row r="158" spans="1:26" ht="15.75" customHeight="1">
      <c r="A158" s="4"/>
      <c r="B158" s="5"/>
      <c r="C158" s="5"/>
      <c r="D158" s="6"/>
      <c r="E158" s="7"/>
      <c r="F158" s="7"/>
      <c r="G158" s="7"/>
      <c r="H158" s="4"/>
      <c r="I158" s="51"/>
      <c r="J158" s="51"/>
      <c r="K158" s="51"/>
      <c r="L158" s="51"/>
      <c r="M158" s="51"/>
      <c r="N158" s="51"/>
      <c r="O158" s="51"/>
      <c r="P158" s="51"/>
      <c r="Q158" s="51"/>
      <c r="R158" s="51"/>
      <c r="S158" s="51"/>
      <c r="T158" s="50"/>
      <c r="U158" s="50"/>
      <c r="V158" s="50"/>
      <c r="W158" s="50"/>
      <c r="X158" s="50"/>
      <c r="Y158" s="50"/>
      <c r="Z158" s="50"/>
    </row>
    <row r="159" spans="1:26" ht="15.75" customHeight="1">
      <c r="A159" s="4"/>
      <c r="B159" s="5"/>
      <c r="C159" s="5"/>
      <c r="D159" s="6"/>
      <c r="E159" s="7"/>
      <c r="F159" s="7"/>
      <c r="G159" s="7"/>
      <c r="H159" s="4"/>
      <c r="I159" s="51"/>
      <c r="J159" s="51"/>
      <c r="K159" s="51"/>
      <c r="L159" s="51"/>
      <c r="M159" s="51"/>
      <c r="N159" s="51"/>
      <c r="O159" s="51"/>
      <c r="P159" s="51"/>
      <c r="Q159" s="51"/>
      <c r="R159" s="51"/>
      <c r="S159" s="51"/>
      <c r="T159" s="50"/>
      <c r="U159" s="50"/>
      <c r="V159" s="50"/>
      <c r="W159" s="50"/>
      <c r="X159" s="50"/>
      <c r="Y159" s="50"/>
      <c r="Z159" s="50"/>
    </row>
    <row r="160" spans="1:26" ht="15.75" customHeight="1">
      <c r="A160" s="4"/>
      <c r="B160" s="5"/>
      <c r="C160" s="5"/>
      <c r="D160" s="6"/>
      <c r="E160" s="7"/>
      <c r="F160" s="7"/>
      <c r="G160" s="7"/>
      <c r="H160" s="4"/>
      <c r="I160" s="51"/>
      <c r="J160" s="51"/>
      <c r="K160" s="51"/>
      <c r="L160" s="51"/>
      <c r="M160" s="51"/>
      <c r="N160" s="51"/>
      <c r="O160" s="51"/>
      <c r="P160" s="51"/>
      <c r="Q160" s="51"/>
      <c r="R160" s="51"/>
      <c r="S160" s="51"/>
      <c r="T160" s="50"/>
      <c r="U160" s="50"/>
      <c r="V160" s="50"/>
      <c r="W160" s="50"/>
      <c r="X160" s="50"/>
      <c r="Y160" s="50"/>
      <c r="Z160" s="50"/>
    </row>
    <row r="161" spans="1:26" ht="15.75" customHeight="1">
      <c r="A161" s="4"/>
      <c r="B161" s="5"/>
      <c r="C161" s="5"/>
      <c r="D161" s="6"/>
      <c r="E161" s="7"/>
      <c r="F161" s="7"/>
      <c r="G161" s="7"/>
      <c r="H161" s="4"/>
      <c r="I161" s="51"/>
      <c r="J161" s="51"/>
      <c r="K161" s="51"/>
      <c r="L161" s="51"/>
      <c r="M161" s="51"/>
      <c r="N161" s="51"/>
      <c r="O161" s="51"/>
      <c r="P161" s="51"/>
      <c r="Q161" s="51"/>
      <c r="R161" s="51"/>
      <c r="S161" s="51"/>
      <c r="T161" s="50"/>
      <c r="U161" s="50"/>
      <c r="V161" s="50"/>
      <c r="W161" s="50"/>
      <c r="X161" s="50"/>
      <c r="Y161" s="50"/>
      <c r="Z161" s="50"/>
    </row>
    <row r="162" spans="1:26" ht="15.75" customHeight="1">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spans="1:26" ht="15.75" customHeight="1">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spans="1:26" ht="15.75" customHeight="1">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spans="1:26" ht="15.75" customHeight="1">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spans="1:26" ht="15.75" customHeight="1">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spans="1:26" ht="15.75" customHeight="1">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spans="1:26" ht="15.75" customHeight="1">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spans="1:26" ht="15.75" customHeight="1">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spans="1:26" ht="15.75" customHeight="1">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spans="1:26" ht="15.75" customHeight="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spans="1:26" ht="15.75" customHeight="1">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spans="1:26" ht="15.75" customHeight="1">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spans="1:26" ht="15.75" customHeight="1">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spans="1:26" ht="15.75" customHeight="1">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spans="1:26" ht="15.75" customHeight="1">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spans="1:26" ht="15.75" customHeight="1">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spans="1:26" ht="15.75" customHeight="1">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spans="1:26" ht="15.75" customHeight="1">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spans="1:26" ht="15.75" customHeight="1">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spans="1:26" ht="15.75" customHeight="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spans="1:26" ht="15.75" customHeight="1">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spans="1:26" ht="15.75" customHeight="1">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spans="1:26" ht="15.75" customHeight="1">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spans="1:26" ht="15.75" customHeight="1">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spans="1:26" ht="15.75" customHeight="1">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spans="1:26" ht="15.75" customHeight="1">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spans="1:26" ht="15.75" customHeight="1">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spans="1:26" ht="15.75" customHeight="1">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spans="1:26" ht="15.75" customHeight="1">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spans="1:26" ht="15.75" customHeight="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spans="1:26" ht="15.75" customHeight="1">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spans="1:26" ht="15.75" customHeight="1">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spans="1:26" ht="15.75" customHeight="1">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spans="1:26" ht="15.75" customHeight="1">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spans="1:26" ht="15.75" customHeight="1">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spans="1:26" ht="15.75" customHeight="1">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spans="1:26" ht="15.75" customHeight="1">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spans="1:26" ht="15.75" customHeight="1">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spans="1:26" ht="15.75" customHeight="1">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spans="1:26" ht="15.75" customHeight="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spans="1:26" ht="15.75" customHeight="1">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spans="1:26" ht="15.75" customHeight="1">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spans="1:26" ht="15.75" customHeight="1">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spans="1:26" ht="15.75" customHeight="1">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spans="1:26" ht="15.75" customHeight="1">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spans="1:26" ht="15.75" customHeight="1">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spans="1:26" ht="15.75" customHeight="1">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spans="1:26" ht="15.75" customHeight="1">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spans="1:26" ht="15.75" customHeight="1">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spans="1:26" ht="15.75" customHeight="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spans="1:26" ht="15.75" customHeight="1">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spans="1:26" ht="15.75" customHeight="1">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spans="1:26" ht="15.75" customHeight="1">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spans="1:26" ht="15.75" customHeight="1">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spans="1:26" ht="15.75" customHeight="1">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spans="1:26" ht="15.75" customHeight="1">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spans="1:26" ht="15.75" customHeight="1">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spans="1:26" ht="15.75" customHeight="1">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spans="1:26" ht="15.75" customHeight="1">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spans="1:26" ht="15.75" customHeight="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spans="1:26" ht="15.75" customHeight="1">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spans="1:26" ht="15.75" customHeight="1">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spans="1:26" ht="15.75" customHeight="1">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spans="1:26" ht="15.75" customHeight="1">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spans="1:26" ht="15.75" customHeight="1">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spans="1:26" ht="15.75" customHeight="1">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spans="1:26" ht="15.75" customHeight="1">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spans="1:26" ht="15.75" customHeight="1">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spans="1:26" ht="15.75" customHeight="1">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spans="1:26" ht="15.75" customHeight="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spans="1:26" ht="15.75" customHeight="1">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spans="1:26" ht="15.75" customHeight="1">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spans="1:26" ht="15.75" customHeight="1">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spans="1:26" ht="15.75" customHeight="1">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spans="1:26" ht="15.75" customHeight="1">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spans="1:26" ht="15.75" customHeight="1">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spans="1:26" ht="15.75" customHeight="1">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spans="1:26" ht="15.75" customHeight="1">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spans="1:26" ht="15.75" customHeight="1">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spans="1:26" ht="15.75" customHeight="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spans="1:26" ht="15.75" customHeight="1">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spans="1:26" ht="15.75" customHeight="1">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spans="1:26" ht="15.75" customHeight="1">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spans="1:26" ht="15.75" customHeight="1">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spans="1:26" ht="15.75" customHeight="1">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spans="1:26" ht="15.75" customHeight="1">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spans="1:26" ht="15.75" customHeight="1">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spans="1:26" ht="15.75" customHeight="1">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spans="1:26" ht="15.75" customHeight="1">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spans="1:26" ht="15.75" customHeight="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spans="1:26" ht="15.75" customHeight="1">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spans="1:26" ht="15.75" customHeight="1">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spans="1:26" ht="15.75" customHeight="1">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spans="1:26" ht="15.75" customHeight="1">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spans="1:26" ht="15.75" customHeight="1">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spans="1:26" ht="15.75" customHeight="1">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spans="1:26" ht="15.75" customHeight="1">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spans="1:26" ht="15.75" customHeight="1">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spans="1:26" ht="15.75" customHeight="1">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spans="1:26" ht="15.75" customHeight="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spans="1:26" ht="15.75" customHeight="1">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spans="1:26" ht="15.75" customHeight="1">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spans="1:26" ht="15.75" customHeight="1">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spans="1:26" ht="15.75" customHeight="1">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spans="1:26" ht="15.75" customHeight="1">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spans="1:26" ht="15.75" customHeight="1">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spans="1:26" ht="15.75" customHeight="1">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spans="1:26" ht="15.75" customHeight="1">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spans="1:26" ht="15.75" customHeight="1">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spans="1:26" ht="15.75" customHeight="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spans="1:26" ht="15.75" customHeight="1">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spans="1:26" ht="15.75" customHeight="1">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spans="1:26" ht="15.75" customHeight="1">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spans="1:26" ht="15.75" customHeight="1">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spans="1:26" ht="15.75" customHeight="1">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spans="1:26" ht="15.75" customHeight="1">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spans="1:26" ht="15.75" customHeight="1">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spans="1:26" ht="15.75" customHeight="1">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spans="1:26" ht="15.75" customHeight="1">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spans="1:26" ht="15.75" customHeight="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spans="1:26" ht="15.75" customHeight="1">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spans="1:26" ht="15.75" customHeight="1">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spans="1:26" ht="15.75" customHeight="1">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spans="1:26" ht="15.75" customHeight="1">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spans="1:26" ht="15.75" customHeight="1">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spans="1:26" ht="15.75" customHeight="1">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spans="1:26" ht="15.75" customHeight="1">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spans="1:26" ht="15.75" customHeight="1">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spans="1:26" ht="15.75" customHeight="1">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spans="1:26" ht="15.75" customHeight="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spans="1:26" ht="15.75" customHeight="1">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spans="1:26" ht="15.75" customHeight="1">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spans="1:26" ht="15.75" customHeight="1">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spans="1:26" ht="15.75" customHeight="1">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spans="1:26" ht="15.75" customHeight="1">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spans="1:26" ht="15.75" customHeight="1">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spans="1:26" ht="15.75" customHeight="1">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spans="1:26" ht="15.75" customHeight="1">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spans="1:26" ht="15.75" customHeight="1">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spans="1:26" ht="15.75" customHeight="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spans="1:26" ht="15.75" customHeight="1">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spans="1:26" ht="15.75" customHeight="1">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spans="1:26" ht="15.75" customHeight="1">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spans="1:26" ht="15.75" customHeight="1">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spans="1:26" ht="15.75" customHeight="1">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spans="1:26" ht="15.75" customHeight="1">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spans="1:26" ht="15.75" customHeight="1">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spans="1:26" ht="15.75" customHeight="1">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spans="1:26" ht="15.75" customHeight="1">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spans="1:26" ht="15.75" customHeight="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spans="1:26" ht="15.75" customHeight="1">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spans="1:26" ht="15.75" customHeight="1">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spans="1:26" ht="15.75" customHeight="1">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spans="1:26" ht="15.75" customHeight="1">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spans="1:26" ht="15.75" customHeight="1">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spans="1:26" ht="15.75" customHeight="1">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spans="1:26" ht="15.75" customHeight="1">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spans="1:26" ht="15.75" customHeight="1">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spans="1:26" ht="15.75" customHeight="1">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spans="1:26" ht="15.75" customHeight="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spans="1:26" ht="15.75" customHeight="1">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spans="1:26" ht="15.75" customHeight="1">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spans="1:26" ht="15.75" customHeight="1">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spans="1:26" ht="15.75" customHeight="1">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spans="1:26" ht="15.75" customHeight="1">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spans="1:26" ht="15.75" customHeight="1">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spans="1:26" ht="15.75" customHeight="1">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spans="1:26" ht="15.75" customHeight="1">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spans="1:26" ht="15.75" customHeight="1">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spans="1:26" ht="15.75" customHeight="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spans="1:26" ht="15.75" customHeight="1">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spans="1:26" ht="15.75" customHeight="1">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spans="1:26" ht="15.75" customHeight="1">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spans="1:26" ht="15.75" customHeight="1">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spans="1:26" ht="15.75" customHeight="1">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spans="1:26" ht="15.75" customHeight="1">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spans="1:26" ht="15.75" customHeight="1">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spans="1:26" ht="15.75" customHeight="1">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spans="1:26" ht="15.75" customHeight="1">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spans="1:26" ht="15.75" customHeight="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spans="1:26" ht="15.75" customHeight="1">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spans="1:26" ht="15.75" customHeight="1">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spans="1:26" ht="15.75" customHeight="1">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spans="1:26" ht="15.75" customHeight="1">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spans="1:26" ht="15.75" customHeight="1">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spans="1:26" ht="15.75" customHeight="1">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spans="1:26" ht="15.75" customHeight="1">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spans="1:26" ht="15.75" customHeight="1">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spans="1:26" ht="15.75" customHeight="1">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spans="1:26" ht="15.75" customHeight="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spans="1:26" ht="15.75" customHeight="1">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spans="1:26" ht="15.75" customHeight="1">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spans="1:26" ht="15.75" customHeight="1">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spans="1:26" ht="15.75" customHeight="1">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spans="1:26" ht="15.75" customHeight="1">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spans="1:26" ht="15.75" customHeight="1">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spans="1:26" ht="15.75" customHeight="1">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spans="1:26" ht="15.75" customHeight="1">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spans="1:26" ht="15.75" customHeight="1">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spans="1:26" ht="15.75" customHeight="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spans="1:26" ht="15.75" customHeight="1">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spans="1:26" ht="15.75" customHeight="1">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spans="1:26" ht="15.75" customHeight="1">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spans="1:26" ht="15.75" customHeight="1">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spans="1:26" ht="15.75" customHeight="1">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spans="1:26" ht="15.75" customHeight="1">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spans="1:26" ht="15.75" customHeight="1">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spans="1:26" ht="15.75" customHeight="1">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spans="1:26" ht="15.75" customHeight="1">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spans="1:26" ht="15.75" customHeight="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spans="1:26" ht="15.75" customHeight="1">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spans="1:26" ht="15.75" customHeight="1">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spans="1:26" ht="15.75" customHeight="1">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spans="1:26" ht="15.75" customHeight="1">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spans="1:26" ht="15.75" customHeight="1">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spans="1:26" ht="15.75" customHeight="1">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spans="1:26" ht="15.75" customHeight="1">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spans="1:26" ht="15.75" customHeight="1">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spans="1:26" ht="15.75" customHeight="1">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spans="1:26" ht="15.75" customHeight="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spans="1:26" ht="15.75" customHeight="1">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spans="1:26" ht="15.75" customHeight="1">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spans="1:26" ht="15.75" customHeight="1">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spans="1:26" ht="15.75" customHeight="1">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spans="1:26" ht="15.75" customHeight="1">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spans="1:26" ht="15.75" customHeight="1">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spans="1:26" ht="15.75" customHeight="1">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spans="1:26" ht="15.75" customHeight="1">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spans="1:26" ht="15.75" customHeight="1">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spans="1:26" ht="15.75" customHeight="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spans="1:26" ht="15.75" customHeight="1">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spans="1:26" ht="15.75" customHeight="1">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spans="1:26" ht="15.75" customHeight="1">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spans="1:26" ht="15.75" customHeight="1">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spans="1:26" ht="15.75" customHeight="1">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spans="1:26" ht="15.75" customHeight="1">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spans="1:26" ht="15.75" customHeight="1">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spans="1:26" ht="15.75" customHeight="1">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spans="1:26" ht="15.75" customHeight="1">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spans="1:26" ht="15.75" customHeight="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spans="1:26" ht="15.75" customHeight="1">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spans="1:26" ht="15.75" customHeight="1">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spans="1:26" ht="15.75" customHeight="1">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spans="1:26" ht="15.75" customHeight="1">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spans="1:26" ht="15.75" customHeight="1">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spans="1:26" ht="15.75" customHeight="1">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spans="1:26" ht="15.75" customHeight="1">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spans="1:26" ht="15.75" customHeight="1">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spans="1:26" ht="15.75" customHeight="1">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spans="1:26" ht="15.75" customHeight="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spans="1:26" ht="15.75" customHeight="1">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spans="1:26" ht="15.75" customHeight="1">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spans="1:26" ht="15.75" customHeight="1">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spans="1:26" ht="15.75" customHeight="1">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spans="1:26" ht="15.75" customHeight="1">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spans="1:26" ht="15.75" customHeight="1">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spans="1:26" ht="15.75" customHeight="1">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spans="1:26" ht="15.75" customHeight="1">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spans="1:26" ht="15.75" customHeight="1">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spans="1:26" ht="15.75" customHeight="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spans="1:26" ht="15.75" customHeight="1">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spans="1:26" ht="15.75" customHeight="1">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spans="1:26" ht="15.75" customHeight="1">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spans="1:26" ht="15.75" customHeight="1">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spans="1:26" ht="15.75" customHeight="1">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spans="1:26" ht="15.75" customHeight="1">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spans="1:26" ht="15.75" customHeight="1">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spans="1:26" ht="15.75" customHeight="1">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spans="1:26" ht="15.75" customHeight="1">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spans="1:26" ht="15.75" customHeight="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spans="1:26" ht="15.75" customHeight="1">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spans="1:26" ht="15.75" customHeight="1">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spans="1:26" ht="15.75" customHeight="1">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spans="1:26" ht="15.75" customHeight="1">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spans="1:26" ht="15.75" customHeight="1">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spans="1:26" ht="15.75" customHeight="1">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spans="1:26" ht="15.75" customHeight="1">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spans="1:26" ht="15.75" customHeight="1">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spans="1:26" ht="15.75" customHeight="1">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spans="1:26" ht="15.75" customHeight="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spans="1:26" ht="15.75" customHeight="1">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spans="1:26" ht="15.75" customHeight="1">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spans="1:26" ht="15.75" customHeight="1">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spans="1:26" ht="15.75" customHeight="1">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spans="1:26" ht="15.75" customHeight="1">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spans="1:26" ht="15.75" customHeight="1">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spans="1:26" ht="15.75" customHeight="1">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spans="1:26" ht="15.75" customHeight="1">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spans="1:26" ht="15.75" customHeight="1">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spans="1:26" ht="15.75" customHeight="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spans="1:26" ht="15.75" customHeight="1">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spans="1:26" ht="15.75" customHeight="1">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spans="1:26" ht="15.75" customHeight="1">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spans="1:26" ht="15.75" customHeight="1">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spans="1:26" ht="15.75" customHeight="1">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spans="1:26" ht="15.75" customHeight="1">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spans="1:26" ht="15.75" customHeight="1">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spans="1:26" ht="15.75" customHeight="1">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spans="1:26" ht="15.75" customHeight="1">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spans="1:26" ht="15.75" customHeight="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spans="1:26" ht="15.75" customHeight="1">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spans="1:26" ht="15.75" customHeight="1">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spans="1:26" ht="15.75" customHeight="1">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spans="1:26" ht="15.75" customHeight="1">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spans="1:26" ht="15.75" customHeight="1">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spans="1:26" ht="15.75" customHeight="1">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spans="1:26" ht="15.75" customHeight="1">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spans="1:26" ht="15.75" customHeight="1">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spans="1:26" ht="15.75" customHeight="1">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spans="1:26" ht="15.75" customHeight="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spans="1:26" ht="15.75" customHeight="1">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spans="1:26" ht="15.75" customHeight="1">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spans="1:26" ht="15.75" customHeight="1">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spans="1:26" ht="15.75" customHeight="1">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spans="1:26" ht="15.75" customHeight="1">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spans="1:26" ht="15.75" customHeight="1">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spans="1:26" ht="15.75" customHeight="1">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spans="1:26" ht="15.75" customHeight="1">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spans="1:26" ht="15.75" customHeight="1">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spans="1:26" ht="15.75" customHeight="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spans="1:26" ht="15.75" customHeight="1">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spans="1:26" ht="15.75" customHeight="1">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spans="1:26" ht="15.75" customHeight="1">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spans="1:26" ht="15.75" customHeight="1">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spans="1:26" ht="15.75" customHeight="1">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spans="1:26" ht="15.75" customHeight="1">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spans="1:26" ht="15.75" customHeight="1">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spans="1:26" ht="15.75" customHeight="1">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spans="1:26" ht="15.75" customHeight="1">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spans="1:26" ht="15.75" customHeight="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spans="1:26" ht="15.75" customHeight="1">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spans="1:26" ht="15.75" customHeight="1">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spans="1:26" ht="15.75" customHeight="1">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spans="1:26" ht="15.75" customHeight="1">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spans="1:26" ht="15.75" customHeight="1">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spans="1:26" ht="15.75" customHeight="1">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spans="1:26" ht="15.75" customHeight="1">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spans="1:26" ht="15.75" customHeight="1">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spans="1:26" ht="15.75" customHeight="1">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spans="1:26" ht="15.75" customHeight="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spans="1:26" ht="15.75" customHeight="1">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spans="1:26" ht="15.75" customHeight="1">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spans="1:26" ht="15.75" customHeight="1">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spans="1:26" ht="15.75" customHeight="1">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spans="1:26" ht="15.75" customHeight="1">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spans="1:26" ht="15.75" customHeight="1">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spans="1:26" ht="15.75" customHeight="1">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spans="1:26" ht="15.75" customHeight="1">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spans="1:26" ht="15.75" customHeight="1">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spans="1:26" ht="15.75" customHeight="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spans="1:26" ht="15.75" customHeight="1">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spans="1:26" ht="15.75" customHeight="1">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spans="1:26" ht="15.75" customHeight="1">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spans="1:26" ht="15.75" customHeight="1">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spans="1:26" ht="15.75" customHeight="1">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spans="1:26" ht="15.75" customHeight="1">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spans="1:26" ht="15.75" customHeight="1">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spans="1:26" ht="15.75" customHeight="1">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spans="1:26" ht="15.75" customHeight="1">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spans="1:26" ht="15.75" customHeight="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spans="1:26" ht="15.75" customHeight="1">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spans="1:26" ht="15.75" customHeight="1">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spans="1:26" ht="15.75" customHeight="1">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spans="1:26" ht="15.75" customHeight="1">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spans="1:26" ht="15.75" customHeight="1">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spans="1:26" ht="15.75" customHeight="1">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spans="1:26" ht="15.75" customHeight="1">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spans="1:26" ht="15.75" customHeight="1">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spans="1:26" ht="15.75" customHeight="1">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spans="1:26" ht="15.75" customHeight="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spans="1:26" ht="15.75" customHeight="1">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spans="1:26" ht="15.75" customHeight="1">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spans="1:26" ht="15.75" customHeight="1">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spans="1:26" ht="15.75" customHeight="1">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spans="1:26" ht="15.75" customHeight="1">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spans="1:26" ht="15.75" customHeight="1">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spans="1:26" ht="15.75" customHeight="1">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spans="1:26" ht="15.75" customHeight="1">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spans="1:26" ht="15.75" customHeight="1">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spans="1:26" ht="15.75" customHeight="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spans="1:26" ht="15.75" customHeight="1">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spans="1:26" ht="15.75" customHeight="1">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spans="1:26" ht="15.75" customHeight="1">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spans="1:26" ht="15.75" customHeight="1">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spans="1:26" ht="15.75" customHeight="1">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spans="1:26" ht="15.75" customHeight="1">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spans="1:26" ht="15.75" customHeight="1">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spans="1:26" ht="15.75" customHeight="1">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spans="1:26" ht="15.75" customHeight="1">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spans="1:26" ht="15.75" customHeight="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spans="1:26" ht="15.75" customHeight="1">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spans="1:26" ht="15.75" customHeight="1">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spans="1:26" ht="15.75" customHeight="1">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spans="1:26" ht="15.75" customHeight="1">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spans="1:26" ht="15.75" customHeight="1">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spans="1:26" ht="15.75" customHeight="1">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spans="1:26" ht="15.75" customHeight="1">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spans="1:26" ht="15.75" customHeight="1">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spans="1:26" ht="15.75" customHeight="1">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spans="1:26" ht="15.75" customHeight="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spans="1:26" ht="15.75" customHeight="1">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spans="1:26" ht="15.75" customHeight="1">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spans="1:26" ht="15.75" customHeight="1">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spans="1:26" ht="15.75" customHeight="1">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spans="1:26" ht="15.75" customHeight="1">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spans="1:26" ht="15.75" customHeight="1">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spans="1:26" ht="15.75" customHeight="1">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spans="1:26" ht="15.75" customHeight="1">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spans="1:26" ht="15.75" customHeight="1">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spans="1:26" ht="15.75" customHeight="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spans="1:26" ht="15.75" customHeight="1">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spans="1:26" ht="15.75" customHeight="1">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spans="1:26" ht="15.75" customHeight="1">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spans="1:26" ht="15.75" customHeight="1">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spans="1:26" ht="15.75" customHeight="1">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spans="1:26" ht="15.75" customHeight="1">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spans="1:26" ht="15.75" customHeight="1">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spans="1:26" ht="15.75" customHeight="1">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spans="1:26" ht="15.75" customHeight="1">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spans="1:26" ht="15.75" customHeight="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spans="1:26" ht="15.75" customHeight="1">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spans="1:26" ht="15.75" customHeight="1">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spans="1:26" ht="15.75" customHeight="1">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spans="1:26" ht="15.75" customHeight="1">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spans="1:26" ht="15.75" customHeight="1">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spans="1:26" ht="15.75" customHeight="1">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spans="1:26" ht="15.75" customHeight="1">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spans="1:26" ht="15.75" customHeight="1">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spans="1:26" ht="15.75" customHeight="1">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spans="1:26" ht="15.75" customHeight="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spans="1:26" ht="15.75" customHeight="1">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spans="1:26" ht="15.75" customHeight="1">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spans="1:26" ht="15.75" customHeight="1">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spans="1:26" ht="15.75" customHeight="1">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spans="1:26" ht="15.75" customHeight="1">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spans="1:26" ht="15.75" customHeight="1">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spans="1:26" ht="15.75" customHeight="1">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spans="1:26" ht="15.75" customHeight="1">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spans="1:26" ht="15.75" customHeight="1">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spans="1:26" ht="15.75" customHeight="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spans="1:26" ht="15.75" customHeight="1">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spans="1:26" ht="15.75" customHeight="1">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spans="1:26" ht="15.75" customHeight="1">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spans="1:26" ht="15.75" customHeight="1">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spans="1:26" ht="15.75" customHeight="1">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spans="1:26" ht="15.75" customHeight="1">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spans="1:26" ht="15.75" customHeight="1">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spans="1:26" ht="15.75" customHeight="1">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spans="1:26" ht="15.75" customHeight="1">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spans="1:26" ht="15.75" customHeight="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spans="1:26" ht="15.75" customHeight="1">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spans="1:26" ht="15.75" customHeight="1">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spans="1:26" ht="15.75" customHeight="1">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spans="1:26" ht="15.75" customHeight="1">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spans="1:26" ht="15.75" customHeight="1">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spans="1:26" ht="15.75" customHeight="1">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spans="1:26" ht="15.75" customHeight="1">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spans="1:26" ht="15.75" customHeight="1">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spans="1:26" ht="15.75" customHeight="1">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spans="1:26" ht="15.75" customHeight="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spans="1:26" ht="15.75" customHeight="1">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spans="1:26" ht="15.75" customHeight="1">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spans="1:26" ht="15.75" customHeight="1">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spans="1:26" ht="15.75" customHeight="1">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spans="1:26" ht="15.75" customHeight="1">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spans="1:26" ht="15.75" customHeight="1">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spans="1:26" ht="15.75" customHeight="1">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spans="1:26" ht="15.75" customHeight="1">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spans="1:26" ht="15.75" customHeight="1">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spans="1:26" ht="15.75" customHeight="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spans="1:26" ht="15.75" customHeight="1">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spans="1:26" ht="15.75" customHeight="1">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spans="1:26" ht="15.75" customHeight="1">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spans="1:26" ht="15.75" customHeight="1">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spans="1:26" ht="15.75" customHeight="1">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spans="1:26" ht="15.75" customHeight="1">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spans="1:26" ht="15.75" customHeight="1">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spans="1:26" ht="15.75" customHeight="1">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spans="1:26" ht="15.75" customHeight="1">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spans="1:26" ht="15.75" customHeight="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spans="1:26" ht="15.75" customHeight="1">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spans="1:26" ht="15.75" customHeight="1">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spans="1:26" ht="15.75" customHeight="1">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spans="1:26" ht="15.75" customHeight="1">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spans="1:26" ht="15.75" customHeight="1">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spans="1:26" ht="15.75" customHeight="1">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spans="1:26" ht="15.75" customHeight="1">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spans="1:26" ht="15.75" customHeight="1">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spans="1:26" ht="15.75" customHeight="1">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spans="1:26" ht="15.75" customHeight="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spans="1:26" ht="15.75" customHeight="1">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spans="1:26" ht="15.75" customHeight="1">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spans="1:26" ht="15.75" customHeight="1">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spans="1:26" ht="15.75" customHeight="1">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spans="1:26" ht="15.75" customHeight="1">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spans="1:26" ht="15.75" customHeight="1">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spans="1:26" ht="15.75" customHeight="1">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spans="1:26" ht="15.75" customHeight="1">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spans="1:26" ht="15.75" customHeight="1">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spans="1:26" ht="15.75" customHeight="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spans="1:26" ht="15.75" customHeight="1">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spans="1:26" ht="15.75" customHeight="1">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spans="1:26" ht="15.75" customHeight="1">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spans="1:26" ht="15.75" customHeight="1">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spans="1:26" ht="15.75" customHeight="1">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spans="1:26" ht="15.75" customHeight="1">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spans="1:26" ht="15.75" customHeight="1">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spans="1:26" ht="15.75" customHeight="1">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spans="1:26" ht="15.75" customHeight="1">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spans="1:26" ht="15.75" customHeight="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spans="1:26" ht="15.75" customHeight="1">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spans="1:26" ht="15.75" customHeight="1">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spans="1:26" ht="15.75" customHeight="1">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spans="1:26" ht="15.75" customHeight="1">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spans="1:26" ht="15.75" customHeight="1">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spans="1:26" ht="15.75" customHeight="1">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spans="1:26" ht="15.75" customHeight="1">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spans="1:26" ht="15.75" customHeight="1">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spans="1:26" ht="15.75" customHeight="1">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spans="1:26" ht="15.75" customHeight="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spans="1:26" ht="15.75" customHeight="1">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spans="1:26" ht="15.75" customHeight="1">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spans="1:26" ht="15.75" customHeight="1">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spans="1:26" ht="15.75" customHeight="1">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spans="1:26" ht="15.75" customHeight="1">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spans="1:26" ht="15.75" customHeight="1">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spans="1:26" ht="15.75" customHeight="1">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spans="1:26" ht="15.75" customHeight="1">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spans="1:26" ht="15.75" customHeight="1">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spans="1:26" ht="15.75" customHeight="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spans="1:26" ht="15.75" customHeight="1">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spans="1:26" ht="15.75" customHeight="1">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spans="1:26" ht="15.75" customHeight="1">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spans="1:26" ht="15.75" customHeight="1">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spans="1:26" ht="15.75" customHeight="1">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spans="1:26" ht="15.75" customHeight="1">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spans="1:26" ht="15.75" customHeight="1">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spans="1:26" ht="15.75" customHeight="1">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spans="1:26" ht="15.75" customHeight="1">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spans="1:26" ht="15.75" customHeight="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spans="1:26" ht="15.75" customHeight="1">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spans="1:26" ht="15.75" customHeight="1">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spans="1:26" ht="15.75" customHeight="1">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spans="1:26" ht="15.75" customHeight="1">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spans="1:26" ht="15.75" customHeight="1">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spans="1:26" ht="15.75" customHeight="1">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spans="1:26" ht="15.75" customHeight="1">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spans="1:26" ht="15.75" customHeight="1">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spans="1:26" ht="15.75" customHeight="1">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spans="1:26" ht="15.75" customHeight="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spans="1:26" ht="15.75" customHeight="1">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spans="1:26" ht="15.75" customHeight="1">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spans="1:26" ht="15.75" customHeight="1">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spans="1:26" ht="15.75" customHeight="1">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spans="1:26" ht="15.75" customHeight="1">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spans="1:26" ht="15.75" customHeight="1">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spans="1:26" ht="15.75" customHeight="1">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spans="1:26" ht="15.75" customHeight="1">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spans="1:26" ht="15.75" customHeight="1">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spans="1:26" ht="15.75" customHeight="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spans="1:26" ht="15.75" customHeight="1">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spans="1:26" ht="15.75" customHeight="1">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spans="1:26" ht="15.75" customHeight="1">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spans="1:26" ht="15.75" customHeight="1">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spans="1:26" ht="15.75" customHeight="1">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spans="1:26" ht="15.75" customHeight="1">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spans="1:26" ht="15.75" customHeight="1">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spans="1:26" ht="15.75" customHeight="1">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spans="1:26" ht="15.75" customHeight="1">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spans="1:26" ht="15.75" customHeight="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spans="1:26" ht="15.75" customHeight="1">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spans="1:26" ht="15.75" customHeight="1">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spans="1:26" ht="15.75" customHeight="1">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spans="1:26" ht="15.75" customHeight="1">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spans="1:26" ht="15.75" customHeight="1">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spans="1:26" ht="15.75" customHeight="1">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spans="1:26" ht="15.75" customHeight="1">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spans="1:26" ht="15.75" customHeight="1">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spans="1:26" ht="15.75" customHeight="1">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spans="1:26" ht="15.75" customHeight="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spans="1:26" ht="15.75" customHeight="1">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spans="1:26" ht="15.75" customHeight="1">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spans="1:26" ht="15.75" customHeight="1">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spans="1:26" ht="15.75" customHeight="1">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spans="1:26" ht="15.75" customHeight="1">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spans="1:26" ht="15.75" customHeight="1">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spans="1:26" ht="15.75" customHeight="1">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spans="1:26" ht="15.75" customHeight="1">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spans="1:26" ht="15.75" customHeight="1">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spans="1:26" ht="15.75" customHeight="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spans="1:26" ht="15.75" customHeight="1">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spans="1:26" ht="15.75" customHeight="1">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spans="1:26" ht="15.75" customHeight="1">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spans="1:26" ht="15.75" customHeight="1">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spans="1:26" ht="15.75" customHeight="1">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spans="1:26" ht="15.75" customHeight="1">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spans="1:26" ht="15.75" customHeight="1">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spans="1:26" ht="15.75" customHeight="1">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spans="1:26" ht="15.75" customHeight="1">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spans="1:26" ht="15.75" customHeight="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spans="1:26" ht="15.75" customHeight="1">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spans="1:26" ht="15.75" customHeight="1">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spans="1:26" ht="15.75" customHeight="1">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spans="1:26" ht="15.75" customHeight="1">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spans="1:26" ht="15.75" customHeight="1">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spans="1:26" ht="15.75" customHeight="1">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spans="1:26" ht="15.75" customHeight="1">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spans="1:26" ht="15.75" customHeight="1">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spans="1:26" ht="15.75" customHeight="1">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spans="1:26" ht="15.75" customHeight="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spans="1:26" ht="15.75" customHeight="1">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spans="1:26" ht="15.75" customHeight="1">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spans="1:26" ht="15.75" customHeight="1">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spans="1:26" ht="15.75" customHeight="1">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spans="1:26" ht="15.75" customHeight="1">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spans="1:26" ht="15.75" customHeight="1">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spans="1:26" ht="15.75" customHeight="1">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spans="1:26" ht="15.75" customHeight="1">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spans="1:26" ht="15.75" customHeight="1">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spans="1:26" ht="15.75" customHeight="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spans="1:26" ht="15.75" customHeight="1">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spans="1:26" ht="15.75" customHeight="1">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spans="1:26" ht="15.75" customHeight="1">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spans="1:26" ht="15.75" customHeight="1">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spans="1:26" ht="15.75" customHeight="1">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spans="1:26" ht="15.75" customHeight="1">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spans="1:26" ht="15.75" customHeight="1">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spans="1:26" ht="15.75" customHeight="1">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spans="1:26" ht="15.75" customHeight="1">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spans="1:26" ht="15.75" customHeight="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spans="1:26" ht="15.75" customHeight="1">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spans="1:26" ht="15.75" customHeight="1">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spans="1:26" ht="15.75" customHeight="1">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spans="1:26" ht="15.75" customHeight="1">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spans="1:26" ht="15.75" customHeight="1">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spans="1:26" ht="15.75" customHeight="1">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spans="1:26" ht="15.75" customHeight="1">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spans="1:26" ht="15.75" customHeight="1">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spans="1:26" ht="15.75" customHeight="1">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spans="1:26" ht="15.75" customHeight="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spans="1:26" ht="15.75" customHeight="1">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spans="1:26" ht="15.75" customHeight="1">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spans="1:26" ht="15.75" customHeight="1">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spans="1:26" ht="15.75" customHeight="1">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spans="1:26" ht="15.75" customHeight="1">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spans="1:26" ht="15.75" customHeight="1">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spans="1:26" ht="15.75" customHeight="1">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spans="1:26" ht="15.75" customHeight="1">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spans="1:26" ht="15.75" customHeight="1">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spans="1:26" ht="15.75" customHeight="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spans="1:26" ht="15.75" customHeight="1">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spans="1:26" ht="15.75" customHeight="1">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spans="1:26" ht="15.75" customHeight="1">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spans="1:26" ht="15.75" customHeight="1">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spans="1:26" ht="15.75" customHeight="1">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spans="1:26" ht="15.75" customHeight="1">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spans="1:26" ht="15.75" customHeight="1">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spans="1:26" ht="15.75" customHeight="1">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spans="1:26" ht="15.75" customHeight="1">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spans="1:26" ht="15.75" customHeight="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spans="1:26" ht="15.75" customHeight="1">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spans="1:26" ht="15.75" customHeight="1">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spans="1:26" ht="15.75" customHeight="1">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spans="1:26" ht="15.75" customHeight="1">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spans="1:26" ht="15.75" customHeight="1">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spans="1:26" ht="15.75" customHeight="1">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spans="1:26" ht="15.75" customHeight="1">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spans="1:26" ht="15.75" customHeight="1">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spans="1:26" ht="15.75" customHeight="1">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spans="1:26" ht="15.75" customHeight="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spans="1:26" ht="15.75" customHeight="1">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spans="1:26" ht="15.75" customHeight="1">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spans="1:26" ht="15.75" customHeight="1">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spans="1:26" ht="15.75" customHeight="1">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spans="1:26" ht="15.75" customHeight="1">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spans="1:26" ht="15.75" customHeight="1">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spans="1:26" ht="15.75" customHeight="1">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spans="1:26" ht="15.75" customHeight="1">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spans="1:26" ht="15.75" customHeight="1">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spans="1:26" ht="15.75" customHeight="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spans="1:26" ht="15.75" customHeight="1">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spans="1:26" ht="15.75" customHeight="1">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spans="1:26" ht="15.75" customHeight="1">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spans="1:26" ht="15.75" customHeight="1">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spans="1:26" ht="15.75" customHeight="1">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spans="1:26" ht="15.75" customHeight="1">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spans="1:26" ht="15.75" customHeight="1">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spans="1:26" ht="15.75" customHeight="1">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spans="1:26" ht="15.75" customHeight="1">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spans="1:26" ht="15.75" customHeight="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spans="1:26" ht="15.75" customHeight="1">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spans="1:26" ht="15.75" customHeight="1">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spans="1:26" ht="15.75" customHeight="1">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spans="1:26" ht="15.75" customHeight="1">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spans="1:26" ht="15.75" customHeight="1">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spans="1:26" ht="15.75" customHeight="1">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spans="1:26" ht="15.75" customHeight="1">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spans="1:26" ht="15.75" customHeight="1">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spans="1:26" ht="15.75" customHeight="1">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spans="1:26" ht="15.75" customHeight="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spans="1:26" ht="15.75" customHeight="1">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spans="1:26" ht="15.75" customHeight="1">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spans="1:26" ht="15.75" customHeight="1">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spans="1:26" ht="15.75" customHeight="1">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spans="1:26" ht="15.75" customHeight="1">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spans="1:26" ht="15.75" customHeight="1">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spans="1:26" ht="15.75" customHeight="1">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spans="1:26" ht="15.75" customHeight="1">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spans="1:26" ht="15.75" customHeight="1">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spans="1:26" ht="15.75" customHeight="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spans="1:26" ht="15.75" customHeight="1">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spans="1:26" ht="15.75" customHeight="1">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spans="1:26" ht="15.75" customHeight="1">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spans="1:26" ht="15.75" customHeight="1">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spans="1:26" ht="15.75" customHeight="1">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spans="1:26" ht="15.75" customHeight="1">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spans="1:26" ht="15.75" customHeight="1">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spans="1:26" ht="15.75" customHeight="1">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spans="1:26" ht="15.75" customHeight="1">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spans="1:26" ht="15.75" customHeight="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spans="1:26" ht="15.75" customHeight="1">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spans="1:26" ht="15.75" customHeight="1">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spans="1:26" ht="15.75" customHeight="1">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spans="1:26" ht="15.75" customHeight="1">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spans="1:26" ht="15.75" customHeight="1">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spans="1:26" ht="15.75" customHeight="1">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spans="1:26" ht="15.75" customHeight="1">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spans="1:26" ht="15.75" customHeight="1">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spans="1:26" ht="15.75" customHeight="1">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spans="1:26" ht="15.75" customHeight="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spans="1:26" ht="15.75" customHeight="1">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spans="1:26" ht="15.75" customHeight="1">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spans="1:26" ht="15.75" customHeight="1">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spans="1:26" ht="15.75" customHeight="1">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spans="1:26" ht="15.75" customHeight="1">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spans="1:26" ht="15.75" customHeight="1">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spans="1:26" ht="15.75" customHeight="1">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spans="1:26" ht="15.75" customHeight="1">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spans="1:26" ht="15.75" customHeight="1">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spans="1:26" ht="15.75" customHeight="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spans="1:26" ht="15.75" customHeight="1">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spans="1:26" ht="15.75" customHeight="1">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spans="1:26" ht="15.75" customHeight="1">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spans="1:26" ht="15.75" customHeight="1">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spans="1:26" ht="15.75" customHeight="1">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spans="1:26" ht="15.75" customHeight="1">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spans="1:26" ht="15.75" customHeight="1">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spans="1:26" ht="15.75" customHeight="1">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spans="1:26" ht="15.75" customHeight="1">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spans="1:26" ht="15.75" customHeight="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spans="1:26" ht="15.75" customHeight="1">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spans="1:26" ht="15.75" customHeight="1">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spans="1:26" ht="15.75" customHeight="1">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spans="1:26" ht="15.75" customHeight="1">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spans="1:26" ht="15.75" customHeight="1">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spans="1:26" ht="15.75" customHeight="1">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spans="1:26" ht="15.75" customHeight="1">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spans="1:26" ht="15.75" customHeight="1">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spans="1:26" ht="15.75" customHeight="1">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spans="1:26" ht="15.75" customHeight="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spans="1:26" ht="15.75" customHeight="1">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spans="1:26" ht="15.75" customHeight="1">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spans="1:26" ht="15.75" customHeight="1">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spans="1:26" ht="15.75" customHeight="1">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spans="1:26" ht="15.75" customHeight="1">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spans="1:26" ht="15.75" customHeight="1">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spans="1:26" ht="15.75" customHeight="1">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spans="1:26" ht="15.75" customHeight="1">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spans="1:26" ht="15.75" customHeight="1">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spans="1:26" ht="15.75" customHeight="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spans="1:26" ht="15.75" customHeight="1">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spans="1:26" ht="15.75" customHeight="1">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spans="1:26" ht="15.75" customHeight="1">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spans="1:26" ht="15.75" customHeight="1">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spans="1:26" ht="15.75" customHeight="1">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spans="1:26" ht="15.75" customHeight="1">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spans="1:26" ht="15.75" customHeight="1">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spans="1:26" ht="15.75" customHeight="1">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spans="1:26" ht="15.75" customHeight="1">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spans="1:26" ht="15.75" customHeight="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spans="1:26" ht="15.75" customHeight="1">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spans="1:26" ht="15.75" customHeight="1">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spans="1:26" ht="15.75" customHeight="1">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spans="1:26" ht="15.75" customHeight="1">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spans="1:26" ht="15.75" customHeight="1">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spans="1:26" ht="15.75" customHeight="1">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spans="1:26" ht="15.75" customHeight="1">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spans="1:26" ht="15.75" customHeight="1">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spans="1:26" ht="15.75" customHeight="1">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spans="1:26" ht="15.75" customHeight="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spans="1:26" ht="15.75" customHeight="1">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spans="1:26" ht="15.75" customHeight="1">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spans="1:26" ht="15.75" customHeight="1">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spans="1:26" ht="15.75" customHeight="1">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spans="1:26" ht="15.75" customHeight="1">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spans="1:26" ht="15.75" customHeight="1">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spans="1:26" ht="15.75" customHeight="1">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spans="1:26" ht="15.75" customHeight="1">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spans="1:26" ht="15.75" customHeight="1">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spans="1:26" ht="15.75" customHeight="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spans="1:26" ht="15.75" customHeight="1">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spans="1:26" ht="15.75" customHeight="1">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spans="1:26" ht="15.75" customHeight="1">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spans="1:26" ht="15.75" customHeight="1">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spans="1:26" ht="15.75" customHeight="1">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spans="1:26" ht="15.75" customHeight="1">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spans="1:26" ht="15.75" customHeight="1">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spans="1:26" ht="15.75" customHeight="1">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spans="1:26" ht="15.75" customHeight="1">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spans="1:26" ht="15.75" customHeight="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spans="1:26" ht="15.75" customHeight="1">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spans="1:26" ht="15.75" customHeight="1">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spans="1:26" ht="15.75" customHeight="1">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spans="1:26" ht="15.75" customHeight="1">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spans="1:26" ht="15.75" customHeight="1">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spans="1:26" ht="15.75" customHeight="1">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spans="1:26" ht="15.75" customHeight="1">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spans="1:26" ht="15.75" customHeight="1">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spans="1:26" ht="15.75" customHeight="1">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spans="1:26" ht="15.75" customHeight="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spans="1:26" ht="15.75" customHeight="1">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spans="1:26" ht="15.75" customHeight="1">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spans="1:26" ht="15.75" customHeight="1">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spans="1:26" ht="15.75" customHeight="1">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spans="1:26" ht="15.75" customHeight="1">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spans="1:26" ht="15.75" customHeight="1">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spans="1:26" ht="15.75" customHeight="1">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spans="1:26" ht="15.75" customHeight="1">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spans="1:26" ht="15.75" customHeight="1">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spans="1:26" ht="15.75" customHeight="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spans="1:26" ht="15.75" customHeight="1">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spans="1:26" ht="15.75" customHeight="1">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spans="1:26" ht="15.75" customHeight="1">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spans="1:26" ht="15.75" customHeight="1">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spans="1:26" ht="15.75" customHeight="1">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spans="1:26" ht="15.75" customHeight="1">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spans="1:26" ht="15.75" customHeight="1">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spans="1:26" ht="15.75" customHeight="1">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spans="1:26" ht="15.75" customHeight="1">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mergeCells count="109">
    <mergeCell ref="D128:E128"/>
    <mergeCell ref="D129:E129"/>
    <mergeCell ref="D130:E130"/>
    <mergeCell ref="D131:E131"/>
    <mergeCell ref="D132:E132"/>
    <mergeCell ref="D133:E133"/>
    <mergeCell ref="D134:E134"/>
    <mergeCell ref="D119:E119"/>
    <mergeCell ref="D120:E120"/>
    <mergeCell ref="D121:E121"/>
    <mergeCell ref="D122:E122"/>
    <mergeCell ref="D123:E123"/>
    <mergeCell ref="D124:E124"/>
    <mergeCell ref="D125:E125"/>
    <mergeCell ref="D126:E126"/>
    <mergeCell ref="D127:E127"/>
    <mergeCell ref="D110:E110"/>
    <mergeCell ref="D111:E111"/>
    <mergeCell ref="D112:E112"/>
    <mergeCell ref="D113:E113"/>
    <mergeCell ref="D114:E114"/>
    <mergeCell ref="D115:E115"/>
    <mergeCell ref="D116:E116"/>
    <mergeCell ref="D117:E117"/>
    <mergeCell ref="D118:E118"/>
    <mergeCell ref="D101:E101"/>
    <mergeCell ref="D102:E102"/>
    <mergeCell ref="D103:E103"/>
    <mergeCell ref="D104:E104"/>
    <mergeCell ref="D105:E105"/>
    <mergeCell ref="D106:E106"/>
    <mergeCell ref="D107:E107"/>
    <mergeCell ref="D108:E108"/>
    <mergeCell ref="D109:E109"/>
    <mergeCell ref="D143:E143"/>
    <mergeCell ref="D144:E144"/>
    <mergeCell ref="D146:E146"/>
    <mergeCell ref="D147:E147"/>
    <mergeCell ref="D148:E148"/>
    <mergeCell ref="D149:E149"/>
    <mergeCell ref="D135:E135"/>
    <mergeCell ref="D136:E136"/>
    <mergeCell ref="D137:E137"/>
    <mergeCell ref="D138:E138"/>
    <mergeCell ref="D139:E139"/>
    <mergeCell ref="D140:E140"/>
    <mergeCell ref="D141:E141"/>
    <mergeCell ref="D78:E78"/>
    <mergeCell ref="D79:E79"/>
    <mergeCell ref="D80:E80"/>
    <mergeCell ref="D81:E81"/>
    <mergeCell ref="D82:E82"/>
    <mergeCell ref="D83:E83"/>
    <mergeCell ref="D84:E84"/>
    <mergeCell ref="D85:E85"/>
    <mergeCell ref="D142:E142"/>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69:E69"/>
    <mergeCell ref="D70:E70"/>
    <mergeCell ref="D71:E71"/>
    <mergeCell ref="D72:E72"/>
    <mergeCell ref="D73:E73"/>
    <mergeCell ref="D74:E74"/>
    <mergeCell ref="D75:E75"/>
    <mergeCell ref="D76:E76"/>
    <mergeCell ref="D77:E77"/>
    <mergeCell ref="D60:E60"/>
    <mergeCell ref="D61:E61"/>
    <mergeCell ref="D62:E62"/>
    <mergeCell ref="D63:E63"/>
    <mergeCell ref="D64:E64"/>
    <mergeCell ref="D65:E65"/>
    <mergeCell ref="D66:E66"/>
    <mergeCell ref="D67:E67"/>
    <mergeCell ref="D68:E68"/>
    <mergeCell ref="D6:F6"/>
    <mergeCell ref="D7:F7"/>
    <mergeCell ref="D9:E9"/>
    <mergeCell ref="D54:E54"/>
    <mergeCell ref="D55:E55"/>
    <mergeCell ref="D56:E56"/>
    <mergeCell ref="D57:E57"/>
    <mergeCell ref="D58:E58"/>
    <mergeCell ref="D59:E59"/>
    <mergeCell ref="H1:H4"/>
    <mergeCell ref="I1:O1"/>
    <mergeCell ref="I2:O2"/>
    <mergeCell ref="I3:O3"/>
    <mergeCell ref="A1:A4"/>
    <mergeCell ref="B1:B4"/>
    <mergeCell ref="C1:C4"/>
    <mergeCell ref="D1:D4"/>
    <mergeCell ref="E1:E4"/>
    <mergeCell ref="F1:F4"/>
    <mergeCell ref="G1:G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Arzu 16.12.25 (2026)</vt:lpstr>
      <vt:lpstr>Arzu 16.12.25 (2025)</vt:lpstr>
      <vt:lpstr>NEW Travel</vt:lpstr>
      <vt:lpstr>Final 240225</vt:lpstr>
      <vt:lpstr>Final 270525</vt:lpstr>
      <vt:lpstr>DA Travels</vt:lpstr>
      <vt:lpstr>Final 300525</vt:lpstr>
      <vt:lpstr>Arzu 201125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2026-02-21T20:07:21Z</dcterms:modified>
</cp:coreProperties>
</file>